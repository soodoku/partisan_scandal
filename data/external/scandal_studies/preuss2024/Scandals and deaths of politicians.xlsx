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s.c.g.preussuva.nl/Documents/1 Papers/2023_Preuss Wielhouwer_The reputational costs of connections to controversial politicians - Evidence from political scandals/3 empirical/5 datasets/Scandals upload/"/>
    </mc:Choice>
  </mc:AlternateContent>
  <xr:revisionPtr revIDLastSave="0" documentId="13_ncr:1_{05A664B4-9A7A-1C40-A3F8-0415C62AB3C9}" xr6:coauthVersionLast="47" xr6:coauthVersionMax="47" xr10:uidLastSave="{00000000-0000-0000-0000-000000000000}"/>
  <bookViews>
    <workbookView xWindow="0" yWindow="500" windowWidth="28800" windowHeight="17500" xr2:uid="{00000000-000D-0000-FFFF-FFFF00000000}"/>
  </bookViews>
  <sheets>
    <sheet name="Scandals" sheetId="1" r:id="rId1"/>
    <sheet name="Scandal references" sheetId="15" r:id="rId2"/>
    <sheet name="Deaths" sheetId="6" r:id="rId3"/>
    <sheet name="Politician details" sheetId="2" r:id="rId4"/>
    <sheet name="House cycles" sheetId="8" r:id="rId5"/>
    <sheet name="Senate cycles" sheetId="7" r:id="rId6"/>
    <sheet name="PAC reporting dates" sheetId="10" r:id="rId7"/>
  </sheets>
  <definedNames>
    <definedName name="_xlnm._FilterDatabase" localSheetId="2" hidden="1">Deaths!$D$1:$R$1</definedName>
    <definedName name="_xlnm._FilterDatabase" localSheetId="4" hidden="1">'House cycles'!$A$1:$E$1</definedName>
    <definedName name="_xlnm._FilterDatabase" localSheetId="6" hidden="1">'PAC reporting dates'!$A$1:$G$1</definedName>
    <definedName name="_xlnm._FilterDatabase" localSheetId="3" hidden="1">'Politician details'!$A$1:$G$1</definedName>
    <definedName name="_xlnm._FilterDatabase" localSheetId="1" hidden="1">'Scandal references'!$A$1:$H$1</definedName>
    <definedName name="_xlnm._FilterDatabase" localSheetId="0" hidden="1">Scandals!$A$1:$P$1</definedName>
    <definedName name="_xlnm._FilterDatabase" localSheetId="5" hidden="1">'Senate cycles'!$A$1:$I$1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6" l="1"/>
  <c r="O32" i="6" l="1"/>
  <c r="O31" i="6"/>
  <c r="O30" i="6"/>
  <c r="O29" i="6"/>
  <c r="O28" i="6"/>
  <c r="O27" i="6"/>
  <c r="O26" i="6"/>
  <c r="O25" i="6"/>
  <c r="O24" i="6"/>
  <c r="O23" i="6"/>
  <c r="O22" i="6"/>
  <c r="O21" i="6"/>
  <c r="O20" i="6"/>
  <c r="O19" i="6"/>
  <c r="O18" i="6"/>
  <c r="O17" i="6"/>
  <c r="O16" i="6"/>
  <c r="O15" i="6"/>
  <c r="O14" i="6"/>
  <c r="O13" i="6"/>
  <c r="O12" i="6"/>
  <c r="O11" i="6"/>
  <c r="O10" i="6"/>
  <c r="O9" i="6"/>
  <c r="O8" i="6"/>
  <c r="O7" i="6"/>
  <c r="O6" i="6"/>
  <c r="O5" i="6"/>
  <c r="O4" i="6"/>
  <c r="O3" i="6"/>
  <c r="O2" i="6"/>
  <c r="G26" i="6"/>
  <c r="G3" i="6" l="1"/>
  <c r="G4" i="6"/>
  <c r="G5" i="6"/>
  <c r="G6" i="6"/>
  <c r="G7" i="6"/>
  <c r="G8" i="6"/>
  <c r="G9" i="6"/>
  <c r="G10" i="6"/>
  <c r="G12" i="6"/>
  <c r="G13" i="6"/>
  <c r="G14" i="6"/>
  <c r="G15" i="6"/>
  <c r="G16" i="6"/>
  <c r="G17" i="6"/>
  <c r="G18" i="6"/>
  <c r="G19" i="6"/>
  <c r="G20" i="6"/>
  <c r="G21" i="6"/>
  <c r="G22" i="6"/>
  <c r="G23" i="6"/>
  <c r="G24" i="6"/>
  <c r="G25" i="6"/>
  <c r="G27" i="6"/>
  <c r="G28" i="6"/>
  <c r="G29" i="6"/>
  <c r="G30" i="6"/>
  <c r="G31" i="6"/>
  <c r="G32" i="6"/>
  <c r="G2" i="6"/>
  <c r="F42" i="1"/>
  <c r="F175" i="1"/>
  <c r="F184" i="1"/>
  <c r="F194" i="1"/>
  <c r="F134" i="1"/>
  <c r="F219" i="1"/>
  <c r="F135" i="1"/>
  <c r="F154" i="1"/>
  <c r="F90" i="1"/>
  <c r="F17" i="1"/>
  <c r="F91" i="1"/>
  <c r="F173" i="1"/>
  <c r="F180" i="1"/>
  <c r="F85" i="1"/>
  <c r="F86" i="1"/>
  <c r="F87" i="1"/>
  <c r="F89" i="1"/>
  <c r="F92" i="1"/>
  <c r="F94" i="1"/>
  <c r="F104" i="1"/>
  <c r="F45" i="1"/>
  <c r="F38" i="1"/>
  <c r="F39" i="1"/>
  <c r="F70" i="1"/>
  <c r="F78" i="1"/>
  <c r="F6" i="1"/>
  <c r="F206" i="1"/>
  <c r="F20" i="1"/>
  <c r="F83" i="1"/>
  <c r="F116" i="1"/>
  <c r="F131" i="1"/>
  <c r="F210" i="1"/>
  <c r="F148" i="1"/>
  <c r="F26" i="1"/>
  <c r="F186" i="1"/>
  <c r="F41" i="1"/>
  <c r="F69" i="1"/>
  <c r="F130" i="1"/>
  <c r="F160" i="1"/>
  <c r="F205" i="1"/>
  <c r="F19" i="1"/>
  <c r="F133" i="1"/>
  <c r="F137" i="1"/>
  <c r="F189" i="1"/>
  <c r="F68" i="1"/>
  <c r="F72" i="1"/>
  <c r="F167" i="1"/>
  <c r="F168" i="1"/>
  <c r="F30" i="1"/>
  <c r="F93" i="1"/>
  <c r="F187" i="1"/>
  <c r="F209" i="1"/>
  <c r="F117" i="1"/>
  <c r="F126" i="1"/>
  <c r="F103" i="1"/>
  <c r="F16" i="1"/>
  <c r="F204" i="1"/>
  <c r="F114" i="1"/>
  <c r="F118" i="1"/>
  <c r="F4" i="1"/>
  <c r="F47" i="1"/>
  <c r="F48" i="1"/>
  <c r="F84" i="1"/>
  <c r="F49" i="1"/>
  <c r="F75" i="1"/>
  <c r="F111" i="1"/>
  <c r="F113" i="1"/>
  <c r="F124" i="1"/>
  <c r="F125" i="1"/>
  <c r="F53" i="1"/>
  <c r="F55" i="1"/>
  <c r="F61" i="1"/>
  <c r="F112" i="1"/>
  <c r="F147" i="1"/>
  <c r="F64" i="1"/>
  <c r="F172" i="1"/>
  <c r="F144" i="1"/>
  <c r="F2" i="1"/>
  <c r="F54" i="1"/>
  <c r="F57" i="1"/>
  <c r="F59" i="1"/>
  <c r="F101" i="1"/>
  <c r="F99" i="1"/>
  <c r="F132" i="1"/>
  <c r="F155" i="1"/>
  <c r="F95" i="1"/>
  <c r="F128" i="1"/>
  <c r="F196" i="1"/>
  <c r="F100" i="1"/>
  <c r="F119" i="1"/>
  <c r="F24" i="1"/>
  <c r="F56" i="1"/>
  <c r="F60" i="1"/>
  <c r="F179" i="1"/>
  <c r="F102" i="1"/>
  <c r="F129" i="1"/>
  <c r="F40" i="1"/>
  <c r="F195" i="1"/>
  <c r="F96" i="1"/>
  <c r="F37" i="1"/>
  <c r="F120" i="1"/>
  <c r="F7" i="1"/>
  <c r="F14" i="1"/>
  <c r="F33" i="1"/>
  <c r="F50" i="1"/>
  <c r="F217" i="1"/>
  <c r="F207" i="1"/>
  <c r="F44" i="1"/>
  <c r="F156" i="1"/>
  <c r="F74" i="1"/>
  <c r="F81" i="1"/>
  <c r="F140" i="1"/>
  <c r="F71" i="1"/>
  <c r="F106" i="1"/>
  <c r="F51" i="1"/>
  <c r="F115" i="1"/>
  <c r="F211" i="1"/>
  <c r="F181" i="1"/>
  <c r="F152" i="1"/>
  <c r="F176" i="1"/>
  <c r="F188" i="1"/>
  <c r="F76" i="1"/>
  <c r="F214" i="1"/>
  <c r="F110" i="1"/>
  <c r="F98" i="1"/>
  <c r="F121" i="1"/>
  <c r="F164" i="1"/>
  <c r="F218" i="1"/>
  <c r="F146" i="1"/>
  <c r="F157" i="1"/>
  <c r="F178" i="1"/>
  <c r="F185" i="1"/>
  <c r="F165" i="1"/>
  <c r="F107" i="1"/>
  <c r="F202" i="1"/>
  <c r="F43" i="1"/>
  <c r="F203" i="1"/>
  <c r="F5" i="1"/>
  <c r="F145" i="1"/>
  <c r="F170" i="1"/>
  <c r="F63" i="1"/>
  <c r="F31" i="1"/>
  <c r="F182" i="1"/>
  <c r="F198" i="1"/>
  <c r="F215" i="1"/>
  <c r="F197" i="1"/>
  <c r="F52" i="1"/>
  <c r="F58" i="1"/>
  <c r="F66" i="1"/>
  <c r="F8" i="1"/>
  <c r="F65" i="1"/>
  <c r="F22" i="1"/>
  <c r="F28" i="1"/>
  <c r="F29" i="1"/>
  <c r="F192" i="1"/>
  <c r="F73" i="1"/>
  <c r="F142" i="1"/>
  <c r="F208" i="1"/>
  <c r="F162" i="1"/>
  <c r="F166" i="1"/>
  <c r="F21" i="1"/>
  <c r="F36" i="1"/>
  <c r="F139" i="1"/>
  <c r="F77" i="1"/>
  <c r="F171" i="1"/>
  <c r="F10" i="1"/>
  <c r="F199" i="1"/>
  <c r="F105" i="1"/>
  <c r="F97" i="1"/>
  <c r="F127" i="1"/>
  <c r="F161" i="1"/>
  <c r="F136" i="1"/>
  <c r="F213" i="1"/>
  <c r="F149" i="1"/>
  <c r="F141" i="1"/>
  <c r="F109" i="1"/>
  <c r="F169" i="1"/>
  <c r="F191" i="1"/>
  <c r="F212" i="1"/>
  <c r="F13" i="1"/>
  <c r="F151" i="1"/>
  <c r="F67" i="1"/>
  <c r="F150" i="1"/>
  <c r="F23" i="1"/>
  <c r="F27" i="1"/>
  <c r="F9" i="1"/>
  <c r="F11" i="1"/>
  <c r="F18" i="1"/>
  <c r="F25" i="1"/>
  <c r="F122" i="1"/>
  <c r="F190" i="1"/>
  <c r="F174" i="1"/>
  <c r="F123" i="1"/>
  <c r="F201" i="1"/>
  <c r="F158" i="1"/>
  <c r="F88" i="1"/>
  <c r="F193" i="1"/>
  <c r="F153" i="1"/>
  <c r="F163" i="1"/>
  <c r="F200" i="1"/>
  <c r="F177" i="1"/>
  <c r="F82" i="1"/>
  <c r="F143" i="1"/>
  <c r="F32" i="1"/>
  <c r="F62" i="1"/>
  <c r="F46" i="1"/>
  <c r="F79" i="1"/>
  <c r="F80" i="1"/>
  <c r="F15" i="1"/>
  <c r="F35" i="1"/>
  <c r="F34" i="1"/>
  <c r="F12" i="1"/>
  <c r="F138" i="1"/>
  <c r="F3" i="1"/>
  <c r="F216" i="1"/>
  <c r="F159" i="1"/>
  <c r="F108" i="1"/>
  <c r="F183" i="1"/>
  <c r="D34" i="7"/>
  <c r="D39" i="7"/>
  <c r="D15" i="7"/>
  <c r="D31" i="7"/>
  <c r="D26" i="7"/>
  <c r="D23" i="7"/>
  <c r="D3" i="7"/>
  <c r="D2" i="7"/>
</calcChain>
</file>

<file path=xl/sharedStrings.xml><?xml version="1.0" encoding="utf-8"?>
<sst xmlns="http://schemas.openxmlformats.org/spreadsheetml/2006/main" count="4880" uniqueCount="1661">
  <si>
    <t>Congress</t>
  </si>
  <si>
    <t>Name</t>
  </si>
  <si>
    <t>Aaron Jon Schock</t>
  </si>
  <si>
    <t>Alan Bowlby Mollohan</t>
  </si>
  <si>
    <t>Alan Mark Grayson</t>
  </si>
  <si>
    <t>Alan Stuart Franken</t>
  </si>
  <si>
    <t>Alcee Lamar Hastings</t>
  </si>
  <si>
    <t>Anthony David Weiner</t>
  </si>
  <si>
    <t>Benjamin Eugene Quayle</t>
  </si>
  <si>
    <t>Bennie Gordon Thompson</t>
  </si>
  <si>
    <t>Candice Sue Miller</t>
  </si>
  <si>
    <t>Carolyn Cheeks Kilpatrick</t>
  </si>
  <si>
    <t>Chaka Fattah</t>
  </si>
  <si>
    <t>Charles Bernard Rangel</t>
  </si>
  <si>
    <t>Charles Hart Taylor</t>
  </si>
  <si>
    <t>Charles Jeremy Lewis</t>
  </si>
  <si>
    <t>Charles William Young</t>
  </si>
  <si>
    <t>Chester Trent Lott</t>
  </si>
  <si>
    <t>Christopher Carl Collins</t>
  </si>
  <si>
    <t>Christopher John Dodd</t>
  </si>
  <si>
    <t>Christopher John Lee</t>
  </si>
  <si>
    <t>Cindy Hyde-Smith</t>
  </si>
  <si>
    <t>Clifford Bundy Stearns Sr.</t>
  </si>
  <si>
    <t>Conrad Ray Burns</t>
  </si>
  <si>
    <t>Corrine Brown</t>
  </si>
  <si>
    <t>Cynthia Ann McKinney</t>
  </si>
  <si>
    <t>David Bruce Vitter</t>
  </si>
  <si>
    <t>David Mauricio Rivera</t>
  </si>
  <si>
    <t>David Wu</t>
  </si>
  <si>
    <t>Deborah Wasserman Schultz</t>
  </si>
  <si>
    <t>Donald Edwin Young</t>
  </si>
  <si>
    <t>Donald L. Sherwood</t>
  </si>
  <si>
    <t>Donald Milford Payne</t>
  </si>
  <si>
    <t>Duncan Duane Hunter</t>
  </si>
  <si>
    <t>Eddie Bernice Johnson</t>
  </si>
  <si>
    <t>Edolphus Towns</t>
  </si>
  <si>
    <t>Edward Lee Schrock</t>
  </si>
  <si>
    <t>Elizabeth Esty</t>
  </si>
  <si>
    <t>Eric James Joseph Massa</t>
  </si>
  <si>
    <t>Gary Adrian Condit</t>
  </si>
  <si>
    <t>Gary Gene Miller</t>
  </si>
  <si>
    <t>Gaylord Kent Conrad</t>
  </si>
  <si>
    <t>George Felix Allen</t>
  </si>
  <si>
    <t>Gerald C. Weller</t>
  </si>
  <si>
    <t>Gregory Weldon Meeks</t>
  </si>
  <si>
    <t>Harold Dallas Rogers</t>
  </si>
  <si>
    <t>Harry Mason Reid</t>
  </si>
  <si>
    <t>Heather Ann Wilson</t>
  </si>
  <si>
    <t>Henry Jude Radel III</t>
  </si>
  <si>
    <t>Howard Philip McKeon</t>
  </si>
  <si>
    <t>James Anthony Traficant</t>
  </si>
  <si>
    <t>James Arthur Gibbons</t>
  </si>
  <si>
    <t>James Patrick Moran Jr.</t>
  </si>
  <si>
    <t>Jane Margaret Lakes Harman</t>
  </si>
  <si>
    <t>Jeannette Mary Schmidt</t>
  </si>
  <si>
    <t>Jeffrey John Denham</t>
  </si>
  <si>
    <t>Jesse Louis Jackson Jr.</t>
  </si>
  <si>
    <t>Joe Linus Barton</t>
  </si>
  <si>
    <t>John A. Sullivan</t>
  </si>
  <si>
    <t>John David Hayworth Jr.</t>
  </si>
  <si>
    <t>John Edward Sweeney</t>
  </si>
  <si>
    <t>John Edward Walsh</t>
  </si>
  <si>
    <t>John Eric Ensign</t>
  </si>
  <si>
    <t>John F. Tierney</t>
  </si>
  <si>
    <t>John Patrick Murtha Jr.</t>
  </si>
  <si>
    <t>John Taylor Doolittle</t>
  </si>
  <si>
    <t>John James Conyers Jr.</t>
  </si>
  <si>
    <t>Karen McCarthy</t>
  </si>
  <si>
    <t>Katherine Harris</t>
  </si>
  <si>
    <t>Keith Maurice Ellison</t>
  </si>
  <si>
    <t>Kenneth Stanton Calvert</t>
  </si>
  <si>
    <t>Kevin Wayne Yoder</t>
  </si>
  <si>
    <t>Larry Edwin Craig</t>
  </si>
  <si>
    <t>Laura Richardson</t>
  </si>
  <si>
    <t>Lisa Ann Murkowski</t>
  </si>
  <si>
    <t>Marcia Carolyn Kaptur</t>
  </si>
  <si>
    <t>Mark Adam Foley</t>
  </si>
  <si>
    <t>Mark Edward Souder</t>
  </si>
  <si>
    <t>Mark Randall Meadows</t>
  </si>
  <si>
    <t>Mark Robert Warner</t>
  </si>
  <si>
    <t>Mark Steven Kirk</t>
  </si>
  <si>
    <t>Mary Loretta Landrieu</t>
  </si>
  <si>
    <t>Max Sieben Baucus</t>
  </si>
  <si>
    <t>Maxine Moore Waters</t>
  </si>
  <si>
    <t>Michael Dean Crapo</t>
  </si>
  <si>
    <t>Michael Gerard Grimm</t>
  </si>
  <si>
    <t>Michele Marie Bachmann</t>
  </si>
  <si>
    <t>Norman DeValois Dicks</t>
  </si>
  <si>
    <t>Patrick Connolly Meehan</t>
  </si>
  <si>
    <t>Paul E. Kanjorski</t>
  </si>
  <si>
    <t>Peter Anderson Sessions</t>
  </si>
  <si>
    <t>Peter James Roskam</t>
  </si>
  <si>
    <t>Pietro Vichi Domenici</t>
  </si>
  <si>
    <t>Randall Harold Cunningham</t>
  </si>
  <si>
    <t>Randolph Blake Farenthold</t>
  </si>
  <si>
    <t>Richard George Renzi</t>
  </si>
  <si>
    <t>Richard John Santorum</t>
  </si>
  <si>
    <t>Richard Norman Hastings</t>
  </si>
  <si>
    <t>Richard William Pombo</t>
  </si>
  <si>
    <t>Robert Earl Filner</t>
  </si>
  <si>
    <t>Robert Ernest Andrews</t>
  </si>
  <si>
    <t>Robert Francis O'Rourke</t>
  </si>
  <si>
    <t>Robert Menendez</t>
  </si>
  <si>
    <t>Robert William Ney</t>
  </si>
  <si>
    <t>Rochelle Berkley</t>
  </si>
  <si>
    <t>Ronald Ernest Paul</t>
  </si>
  <si>
    <t>Roy Dean Blunt</t>
  </si>
  <si>
    <t>Rubén Jesús Kihuen Bernal</t>
  </si>
  <si>
    <t>Samuel Bruce Graves Jr.</t>
  </si>
  <si>
    <t>Sanford Dixon Bishop Jr.</t>
  </si>
  <si>
    <t>Scott Eugene DesJarlais</t>
  </si>
  <si>
    <t>Sheila Jackson Lee</t>
  </si>
  <si>
    <t>Spencer Thomas Bachus III</t>
  </si>
  <si>
    <t>Stephen Earle Buyer</t>
  </si>
  <si>
    <t>Steven Arnold King</t>
  </si>
  <si>
    <t>Steven Clare LaTourette</t>
  </si>
  <si>
    <t>Thaddeus George McCotter</t>
  </si>
  <si>
    <t>Theodore Fulton Stevens Sr.</t>
  </si>
  <si>
    <t>Thomas Charles Feeney III</t>
  </si>
  <si>
    <t>Thomas Dale DeLay</t>
  </si>
  <si>
    <t>Thomas Edmunds Price</t>
  </si>
  <si>
    <t>Thomas Richard Carper</t>
  </si>
  <si>
    <t>Thomas W. Reed II</t>
  </si>
  <si>
    <t>Timothy Edward Mahoney</t>
  </si>
  <si>
    <t>Timothy Francis Murphy</t>
  </si>
  <si>
    <t>Timothy Howard Bishop</t>
  </si>
  <si>
    <t>Timothy John Ryan</t>
  </si>
  <si>
    <t>Trent Franks</t>
  </si>
  <si>
    <t>Vance Michael McAllister Sr.</t>
  </si>
  <si>
    <t>Vernon Gale Buchanan</t>
  </si>
  <si>
    <t>Virgil Hamlin Goode Jr.</t>
  </si>
  <si>
    <t>Vito John Fossella Jr.</t>
  </si>
  <si>
    <t>Wayne Curtis Weldon</t>
  </si>
  <si>
    <t>William Harrison Frist</t>
  </si>
  <si>
    <t>William Jennings Jefferson</t>
  </si>
  <si>
    <t>William John Janklow</t>
  </si>
  <si>
    <t>William Joseph Walsh</t>
  </si>
  <si>
    <t>William Marshall Thomas</t>
  </si>
  <si>
    <t>William Steve Southerland II</t>
  </si>
  <si>
    <t>William Todd Tiahrt</t>
  </si>
  <si>
    <t>Political position</t>
  </si>
  <si>
    <t>House of Representatives</t>
  </si>
  <si>
    <t>Senate</t>
  </si>
  <si>
    <t>During a court hearing, a tribal representative claimed that Jack Abramoff had guaranteed the political support of Bob Ney and Christopher Dodd. Dodd said he was never contacted. There were no legal consequences for him.</t>
  </si>
  <si>
    <t>Category</t>
  </si>
  <si>
    <t>Improper use of campaign funds</t>
  </si>
  <si>
    <t>Quid pro quo</t>
  </si>
  <si>
    <t>Domestic violence</t>
  </si>
  <si>
    <t>Sexual harassment</t>
  </si>
  <si>
    <t>Indecent behavior</t>
  </si>
  <si>
    <t>Accepting (unrecorded) gifts or beneficial treatment from organizations or lobbyist</t>
  </si>
  <si>
    <t>Attempt to manipulate a vote</t>
  </si>
  <si>
    <t>Raising illegal campaign contributions</t>
  </si>
  <si>
    <t>Nepotism</t>
  </si>
  <si>
    <t>Using political power or inside information for financial gains</t>
  </si>
  <si>
    <t>Insider trading</t>
  </si>
  <si>
    <t>Attempt to manipulate an election</t>
  </si>
  <si>
    <t>Assault</t>
  </si>
  <si>
    <t>Incorrect financial disclosures</t>
  </si>
  <si>
    <t>Creating a hostile work environment</t>
  </si>
  <si>
    <t>Extramarital affair</t>
  </si>
  <si>
    <t>Hypocrisy</t>
  </si>
  <si>
    <t>Mishandling sexual harassment allegations</t>
  </si>
  <si>
    <t>Drug abuse</t>
  </si>
  <si>
    <t>Buying senate seat</t>
  </si>
  <si>
    <t>Alcohol abuse</t>
  </si>
  <si>
    <t>Plagiarism</t>
  </si>
  <si>
    <t>Close ties to lobbyist</t>
  </si>
  <si>
    <t>Misuse of congressional office</t>
  </si>
  <si>
    <t>Homophobic remarks</t>
  </si>
  <si>
    <t>Default on financial obligations</t>
  </si>
  <si>
    <t>Driving under the influence</t>
  </si>
  <si>
    <t>Failure on staff salary payments</t>
  </si>
  <si>
    <t>Violation of impermissible gift rule</t>
  </si>
  <si>
    <t>Paying for prostitution</t>
  </si>
  <si>
    <t>Conflict of interest</t>
  </si>
  <si>
    <t>Driving under the influence with the result manslaughter</t>
  </si>
  <si>
    <t>Default on alimony payments</t>
  </si>
  <si>
    <t>Consequences</t>
  </si>
  <si>
    <t>Paid back $10,800 in taxes.</t>
  </si>
  <si>
    <t>Reelection attempt</t>
  </si>
  <si>
    <t>No</t>
  </si>
  <si>
    <t>Yes</t>
  </si>
  <si>
    <t xml:space="preserve">Reelected </t>
  </si>
  <si>
    <t>Tax evasion</t>
  </si>
  <si>
    <t>Incorrect disclosure of financial assets</t>
  </si>
  <si>
    <t>Misuse of charity funds</t>
  </si>
  <si>
    <t>Violation of house rules</t>
  </si>
  <si>
    <t>Headline</t>
  </si>
  <si>
    <t>Patrick Joseph Kennedy</t>
  </si>
  <si>
    <t>.</t>
  </si>
  <si>
    <t>Witness intimidation</t>
  </si>
  <si>
    <t>Sexual relationship with employee</t>
  </si>
  <si>
    <t xml:space="preserve">Markwayne Mullin </t>
  </si>
  <si>
    <t>Violation of house rules through side business</t>
  </si>
  <si>
    <t>Tom w/2 Price AND (investigation OR soliciting OR campaign contributions OR Ethics)</t>
  </si>
  <si>
    <t>Thomas Evert Petri</t>
  </si>
  <si>
    <t>Michael Makoto Honda</t>
  </si>
  <si>
    <t>Matthew Louis Gaetz II</t>
  </si>
  <si>
    <t>Katherine Lauren Hill</t>
  </si>
  <si>
    <t>Rashida Harbi Tlaib</t>
  </si>
  <si>
    <t>William Patrick Huizenga</t>
  </si>
  <si>
    <t>David S. Schweikert</t>
  </si>
  <si>
    <t>Paul Anthony Gosar</t>
  </si>
  <si>
    <t>Raúl Manuel Grijalva</t>
  </si>
  <si>
    <t>Robert A. Brady</t>
  </si>
  <si>
    <t>Marlin Andrew Stutzman</t>
  </si>
  <si>
    <t>Joseph Crowley</t>
  </si>
  <si>
    <t>Melvin Luther Watt</t>
  </si>
  <si>
    <t>Silvestre Reyes</t>
  </si>
  <si>
    <t>Cathy Anne McMorris Rodgers</t>
  </si>
  <si>
    <t>Thomas Allen Coburn</t>
  </si>
  <si>
    <t>Charles Stewart ID</t>
  </si>
  <si>
    <t>FEC ID Senate</t>
  </si>
  <si>
    <t>FEC ID House</t>
  </si>
  <si>
    <t>FEC ID presidential</t>
  </si>
  <si>
    <t>Thomas Jeb Hensarling</t>
  </si>
  <si>
    <t>Alan w/s Mollohan w/p earmarks</t>
  </si>
  <si>
    <t>Alan w/s Grayson AND Lolita</t>
  </si>
  <si>
    <t>Alan w/s Grayson AND Cayman</t>
  </si>
  <si>
    <t>Al w/s Franken AND sex</t>
  </si>
  <si>
    <t>Alcee Hastings AND (harass OR harassment)</t>
  </si>
  <si>
    <t>Alcee w/s Hastings AND (sexual OR improper OR relationship)</t>
  </si>
  <si>
    <t>Anthony w/s Weiner AND photo</t>
  </si>
  <si>
    <t>Ben w/s Quayle AND Sea of Galilee</t>
  </si>
  <si>
    <t>Bennie w/s Thompson AND Caribbean</t>
  </si>
  <si>
    <t>Candice w/s Miller AND Nick w/s Smith</t>
  </si>
  <si>
    <t>Carolyn w/s Kilpatrick AND Caribbean</t>
  </si>
  <si>
    <t>Cathy w/s McMorris w/s Rodgers AND (misuse OR funds OR investigation OR ethics)</t>
  </si>
  <si>
    <t>Chaka w/s Fattah AND (racketeering OR conspiracy OR Gregory Naylor OR bribe)</t>
  </si>
  <si>
    <t>Charles w/s Rangel AND CCNY</t>
  </si>
  <si>
    <t>Charles w/s Rangel AND Dominican</t>
  </si>
  <si>
    <t>Charles w/s Rangel AND loophole</t>
  </si>
  <si>
    <t>Charles w/s Rangel AND Caribbean</t>
  </si>
  <si>
    <t>Charles w/s Taylor AND ethic NOT liberia</t>
  </si>
  <si>
    <t>Jerry w/s Lewis AND Lowery</t>
  </si>
  <si>
    <t>Jerry w/s Lewis AND Barracks w/s Row</t>
  </si>
  <si>
    <t>Bill w/s Young w/p earmarks</t>
  </si>
  <si>
    <t>Trent w/s Lott AND segregationist AND Thurmond</t>
  </si>
  <si>
    <t>Chris w/s Collins AND insider AND trade</t>
  </si>
  <si>
    <t>Christopher w/s Dodd AND Abramoff</t>
  </si>
  <si>
    <t>Christopher w/s Dodd AND "Countrywide Financial"</t>
  </si>
  <si>
    <t>(Christopher OR Chris) w/2 Lee and craigslist</t>
  </si>
  <si>
    <t>Same dates as Thomas Edmunds Price, no additional search</t>
  </si>
  <si>
    <t>Cindy w/s Hyde-Smith AND (hanging OR lynch)</t>
  </si>
  <si>
    <t>Cliff w/s Stearns AND (bribe OR investigation)</t>
  </si>
  <si>
    <t>Conrad w/s Burns AND Abramoff</t>
  </si>
  <si>
    <t>Corrine w/s Brown AND (Elias Simmons OR Education Foundation OR scholarships OR Fraud)</t>
  </si>
  <si>
    <t>Cynthia w/s McKinney AND police</t>
  </si>
  <si>
    <t>David w/s Vitter AND escort</t>
  </si>
  <si>
    <t>David w/s Rivera AND loan</t>
  </si>
  <si>
    <t>David w/s Schweikert AND (contributions OR investigation OR Ethics OR misuse)</t>
  </si>
  <si>
    <t>David w/s Wu AND sex</t>
  </si>
  <si>
    <t>David w/s Wu AND (tiger OR medication OR erratic behavior)</t>
  </si>
  <si>
    <t>David w/s Wu AND sexual</t>
  </si>
  <si>
    <t>(Deborah OR Debbie) w/s Wasserman w/s Schultz AND (conspire OR email w/s leak)</t>
  </si>
  <si>
    <t>Don w/s Young AND Aronoff</t>
  </si>
  <si>
    <t>Don w/s Young AND Veco</t>
  </si>
  <si>
    <t>Don w/s Young AND gift</t>
  </si>
  <si>
    <t>Don w/s Young AND wetbacks</t>
  </si>
  <si>
    <t>Don w/s Sherwood AND police</t>
  </si>
  <si>
    <t>Donald w/s Payne AND Caribbean</t>
  </si>
  <si>
    <t>Duncan w/s Hunter AND ("campaign funds" OR "FEC probe" OR "video games")</t>
  </si>
  <si>
    <t>Duncan w/s Hunter AND (extramarital OR mistress)</t>
  </si>
  <si>
    <t>Eddie w/s Johnson AND scholarship</t>
  </si>
  <si>
    <t>Edolphus w/s Towns AND "Countrywide Financial"</t>
  </si>
  <si>
    <t>Ed w/s Schrock AND gay</t>
  </si>
  <si>
    <t>Elizabeth w/s Esty AND (Tony Baker OR Anna Kain)</t>
  </si>
  <si>
    <t>Eric w/s Massa AND sexual</t>
  </si>
  <si>
    <t>Gary w/s Condit AND Chandra</t>
  </si>
  <si>
    <t>Gary w/s Miller AND Lewis Operating</t>
  </si>
  <si>
    <t>Gary w/s Miller AND capital gains</t>
  </si>
  <si>
    <t>George w/s Allen AND Macaca</t>
  </si>
  <si>
    <t>Kent w/s Conrad AND "Countrywide Financial"</t>
  </si>
  <si>
    <t>Jerry w/s Weller and Nicaragua (alternative land w/s deal)</t>
  </si>
  <si>
    <t>Gregory w/s Meeks AND Stanford</t>
  </si>
  <si>
    <t>Gregory w/s Meeks AND Hurricane</t>
  </si>
  <si>
    <t>Gregory w/s Meeks AND Ahmad (or loan alternatively)</t>
  </si>
  <si>
    <t>Hal w/s Rogers AND charity AND earmark</t>
  </si>
  <si>
    <t>Harry w/s Reid AND real estate</t>
  </si>
  <si>
    <t>Harry w/s Reid AND (election law OR Christmas gifts)</t>
  </si>
  <si>
    <t>Harry w/s Reid AND bridge AND Colorado River</t>
  </si>
  <si>
    <t>Harry w/s Reid AND (Negro OR Racism)</t>
  </si>
  <si>
    <t>Harry w/s Reid AND Whittemore</t>
  </si>
  <si>
    <t>Heather w/s Wilson AND Iglesias</t>
  </si>
  <si>
    <t>Trey w/s Radel AND cocaine</t>
  </si>
  <si>
    <t>(Howard OR Buck) w/s McKeon AND countrywide</t>
  </si>
  <si>
    <t>James w/s Traficant AND charge</t>
  </si>
  <si>
    <t>Jim w/s Gibbons AND (parking garage OR assault)</t>
  </si>
  <si>
    <t>Jim w/2 Gibbons AND (housekeeper OR illegal immigrant)</t>
  </si>
  <si>
    <t>Jim w/s Gibbons w/p "Warren Trepp"</t>
  </si>
  <si>
    <t>Jim w/s Moran AND PMA</t>
  </si>
  <si>
    <t>Jane w/s Harman AND AIPAC</t>
  </si>
  <si>
    <t>Jean w/s Schmidt AND Turkish</t>
  </si>
  <si>
    <t>Jeff w/s Denham AND Sea of Galilee</t>
  </si>
  <si>
    <t>Jesse w/s Jackson AND Giovana Huidobro</t>
  </si>
  <si>
    <t>Jesse w/s Jackson AND Blagojevich</t>
  </si>
  <si>
    <t>Joe w/s Barton AND photo</t>
  </si>
  <si>
    <t>John w/s Sullivan AND (alcoholism OR addiction OR Betty Ford Center OR alcohol addiction)</t>
  </si>
  <si>
    <t>Hayworth AND Abramoff</t>
  </si>
  <si>
    <t>John w/s Sweeney AND Mariana</t>
  </si>
  <si>
    <t>John w/s Sweeney AND wife</t>
  </si>
  <si>
    <t>John w/s Walsh AND plagiarism</t>
  </si>
  <si>
    <t>John w/s Ensign AND affair</t>
  </si>
  <si>
    <t>John w/s Tierney AND Eremian</t>
  </si>
  <si>
    <t>John w/s Conyers AND babysit</t>
  </si>
  <si>
    <t>John w/s Conyers AND sex</t>
  </si>
  <si>
    <t>John w/s Murtha AND (PMA OR Kuchera)</t>
  </si>
  <si>
    <t>John w/s Doolittle AND Abramoff</t>
  </si>
  <si>
    <t>Karen w/s McCarthy AND alcohol</t>
  </si>
  <si>
    <t>Karen w/s McCarthy AND (Grammy OR misused OR personal gain)</t>
  </si>
  <si>
    <t>Katherine Harris AND MZM</t>
  </si>
  <si>
    <t>Katherine w/s Harris AND legislate sin</t>
  </si>
  <si>
    <t>Katie w/s Hill AND (sexual OR staffer OR aide)</t>
  </si>
  <si>
    <t>Keith w/s Ellison AND Karen Monahan</t>
  </si>
  <si>
    <t>Ken w/s Calvert AND earmarks</t>
  </si>
  <si>
    <t>Kevin w/s Yoder AND Sea of Galilee</t>
  </si>
  <si>
    <t>Larry w/s Craig AND arrest</t>
  </si>
  <si>
    <t>Laura w/s Richardson AND (misusing OR misuse)</t>
  </si>
  <si>
    <t>Laura w/s Richardson AND foreclosure</t>
  </si>
  <si>
    <t>Lisa w/s Murkowski AND Kenai</t>
  </si>
  <si>
    <t>Marcy w/s Kaptur AND PMA</t>
  </si>
  <si>
    <t>Mark w/s Foley w/p page</t>
  </si>
  <si>
    <t>Mark w/s Souder AND affair</t>
  </si>
  <si>
    <t>Mark w/s Meadows AND (sexual OR Kenny West)</t>
  </si>
  <si>
    <t>Mark w/s Warner AND Phillip w/s Puckett</t>
  </si>
  <si>
    <t>Mark w/s Kirk AND Dodie w/s McCracken</t>
  </si>
  <si>
    <t>Markwayne w/s Mullin AND (Ethics OR endorse OR investigation OR plumbing)</t>
  </si>
  <si>
    <t>Marlin w/s Stutzman AND (family OR ethics OR investigation OR campaign)</t>
  </si>
  <si>
    <t>Landrieu AND Voyager</t>
  </si>
  <si>
    <t>Matt w/s Gaetz AND (investigation OR tweet OR intimidation OR Cohen)</t>
  </si>
  <si>
    <t>Max w/s Baucus AND girlfriend AND attorney</t>
  </si>
  <si>
    <t>Maxine w/s Waters AND bailout</t>
  </si>
  <si>
    <t>(Melvin OR Mel) w/2 Watt AND (investigation OR soliciting OR campaign contributions OR Ethics)</t>
  </si>
  <si>
    <t>Mike w/s Crapo AND (DUI OR alcohol)</t>
  </si>
  <si>
    <t>Michael w/s San w/2 Nicolas AND (improper OR relationship OR sexual)</t>
  </si>
  <si>
    <t>Michael w/s Grimm AND Biton</t>
  </si>
  <si>
    <t>Michael w/s Grimm AND Sea of Galilee</t>
  </si>
  <si>
    <t>Michael w/s Grimm AND Healthalicious</t>
  </si>
  <si>
    <t>Mike w/2 Honda AND (ethics OR investigation)</t>
  </si>
  <si>
    <t>Michele w/s Bachmann AND (allegations OR ethics)</t>
  </si>
  <si>
    <t>Norm w/s Dicks AND PMA-group</t>
  </si>
  <si>
    <t>(Pat OR Patrick) w/s Meehan AND sexual</t>
  </si>
  <si>
    <t>Patrick w/s Kennedy AND accident</t>
  </si>
  <si>
    <t>Paul w/s Gosar AND (twitter OR aliens)</t>
  </si>
  <si>
    <t>Kanjorski w/p family</t>
  </si>
  <si>
    <t>Peter w/s Roskam AND Taiwan</t>
  </si>
  <si>
    <t>Pete w/s Domenici AND Iglesias</t>
  </si>
  <si>
    <t>Randy w/s Cunningham w/p contractor</t>
  </si>
  <si>
    <t>Blake w/s Farenthold AND (sex or "Lauren Greene")</t>
  </si>
  <si>
    <t>Blake w/s Farenthold AND settlement</t>
  </si>
  <si>
    <t>Rashida w/s Tlaib AND (improper OR ethics OR contributions)</t>
  </si>
  <si>
    <t>Raúl w/s Grijalva AND (hostile AND drunk AND severance)</t>
  </si>
  <si>
    <t>Rick w/s Renzi AND ManTech</t>
  </si>
  <si>
    <t>Rick w/s Renzi w/p (land OR investigation)</t>
  </si>
  <si>
    <t>Rick w/s Renzi AND Gonzales</t>
  </si>
  <si>
    <t>Rick w/s Santorum AND sodomy</t>
  </si>
  <si>
    <t>Doc w/s Hastings AND "John McKay"</t>
  </si>
  <si>
    <t>Richard w/s Pombo AND wife AND pay</t>
  </si>
  <si>
    <t>Robert w/s Brady AND (conspiracy OR warrant OR FBI OR Moore)</t>
  </si>
  <si>
    <t>Bob w/s Filner w/p airport</t>
  </si>
  <si>
    <t>(Rob OR Robert) w/s Andrews AND ethics AND campaign</t>
  </si>
  <si>
    <t>Beto w/s O'Rourke AND (arrest OR accident)</t>
  </si>
  <si>
    <t>Menendez AND prostitute</t>
  </si>
  <si>
    <t>Menendez AND Melgen</t>
  </si>
  <si>
    <t>Bob w/s Ney AND Abramoff (and alternative Robert w/s Ney AND Abramoff)</t>
  </si>
  <si>
    <t>Bob w/s Ney AND Foxcom</t>
  </si>
  <si>
    <t>(Shelley Or Rochelle) w/s Berkley AND kidney</t>
  </si>
  <si>
    <t>(Ronald OR Ron) w/s Paul AND (racially or racist or racism) AND newsletter</t>
  </si>
  <si>
    <t>(Ronald OR Ron) w/s Paul AND Benton AND Sorenson</t>
  </si>
  <si>
    <t>Roy w/s Blunt AND tobacco</t>
  </si>
  <si>
    <t>Sanford w/s Bishop AND stepdaughter</t>
  </si>
  <si>
    <t>Sanford w/s Bishop AND scholarship</t>
  </si>
  <si>
    <t>Scott w/s DesJarlais AND (extramarital OR abortion)</t>
  </si>
  <si>
    <t>Sheila Jackson Lee AND Mona Floyd</t>
  </si>
  <si>
    <t>Sheila Jackson Lee AND (lawsuit OR sexual OR Jane Doe) AND fire</t>
  </si>
  <si>
    <t>Silvestre w/2 Reyes AND (investigation OR Ethics OR campaign funds OR Cintron)</t>
  </si>
  <si>
    <t>Spencer w/2 Bachus AND insider trading</t>
  </si>
  <si>
    <t>Steve w/s Buyer AND (Frontier OR scholarship OR golf)</t>
  </si>
  <si>
    <t>Steve w/2 King AND cantaloupes</t>
  </si>
  <si>
    <t>Steve w/2 King AND (racism OR racist)</t>
  </si>
  <si>
    <t>Steve w/2 King AND (white supremacy OR racism OR racist)</t>
  </si>
  <si>
    <t>LaTourette AND divorce</t>
  </si>
  <si>
    <t>Thaddeus w/s McCotter AND petition</t>
  </si>
  <si>
    <t>(Ted OR Theodore) w/s Stevens AND VECO</t>
  </si>
  <si>
    <t>(Thomas OR Tom) w/2 Coburn AND (lobbyist OR admonish OR Hampton)</t>
  </si>
  <si>
    <t>(Tom OR Thomas) w/s Feeney AND Abramoff</t>
  </si>
  <si>
    <t>(Tom OR Thomas) w/s Feeney AND (election w/s fraud)</t>
  </si>
  <si>
    <t>Tom w/s Delay AND Westar</t>
  </si>
  <si>
    <t>Tom w/s Delay AND TRMPAC</t>
  </si>
  <si>
    <t>Tom w/s Delay AND Nick w/s Smith</t>
  </si>
  <si>
    <t>Tom w/s Delay AND Abramoff</t>
  </si>
  <si>
    <t>Tom w/s Price AND innate</t>
  </si>
  <si>
    <t>(Thomas OR Tom) w/s Petri AND (ethics OR investigation OR Oshkosh)</t>
  </si>
  <si>
    <t>Tom w/s Carper AND ("black eye" OR "domestic abuse" OR "domestic violence" OR slap w/s wife)</t>
  </si>
  <si>
    <t>Tom w/s Reed AND Sea of Galilee</t>
  </si>
  <si>
    <t>Tim w/s Mahoney AND mistress</t>
  </si>
  <si>
    <t>Tim w/s Murphy AND affair</t>
  </si>
  <si>
    <t>Tim w/s Bishop AND bar mitzvah</t>
  </si>
  <si>
    <t>(Tim OR Timothy) w/s Ryan AND (intoxication OR intoxicated OR arrest)</t>
  </si>
  <si>
    <t>Trent w/s Franks AND (sexual OR harassment)</t>
  </si>
  <si>
    <t>Vance w/s McAllister w/s kiss</t>
  </si>
  <si>
    <t>Vern w/s Buchanan AND (car w/s dealership)</t>
  </si>
  <si>
    <t>Vern w/s Buchanan AND ethics</t>
  </si>
  <si>
    <t>Virgil w/s Goode AND MZM</t>
  </si>
  <si>
    <t>Virgil w/s Goode AND Muslim</t>
  </si>
  <si>
    <t>Vito w/s Fossella AND campaign funds (alternative travel)</t>
  </si>
  <si>
    <t>Vito w/s Fossella AND driving</t>
  </si>
  <si>
    <t>Vito w/s Fossella AND Laura</t>
  </si>
  <si>
    <t>Curt w/s Weldon w/p daughter</t>
  </si>
  <si>
    <t>Bill w/s Frist w/p SEC</t>
  </si>
  <si>
    <t>William w/s Jefferson w/p FBI</t>
  </si>
  <si>
    <t>Bill w/s Janklow AND accident</t>
  </si>
  <si>
    <t>Joe w/s Walsh AND child support</t>
  </si>
  <si>
    <t>Bill w/s Huizenga AND (improper OR ethics OR contributions)</t>
  </si>
  <si>
    <t>Steve w/s Southerland AND Sea of Galilee</t>
  </si>
  <si>
    <t>Todd w/s Tiahrt AND ethics</t>
  </si>
  <si>
    <t>Assumed congressional office</t>
  </si>
  <si>
    <t>H8IL18043</t>
  </si>
  <si>
    <t>H2WV01029</t>
  </si>
  <si>
    <t>H6FL08213</t>
  </si>
  <si>
    <t>S8MN00438</t>
  </si>
  <si>
    <t>H2FL23021</t>
  </si>
  <si>
    <t>H8NY09091</t>
  </si>
  <si>
    <t>H0AZ03362</t>
  </si>
  <si>
    <t>H4MS02068</t>
  </si>
  <si>
    <t>H6MI12181</t>
  </si>
  <si>
    <t>H6MI15127</t>
  </si>
  <si>
    <t>H2PA02055</t>
  </si>
  <si>
    <t>H6NY19029</t>
  </si>
  <si>
    <t>H8NC11038</t>
  </si>
  <si>
    <t>H8CA37079</t>
  </si>
  <si>
    <t>H6FL06035</t>
  </si>
  <si>
    <t>S8MS00162</t>
  </si>
  <si>
    <t>H8NY29032</t>
  </si>
  <si>
    <t>S0CT00037</t>
  </si>
  <si>
    <t>P80003387</t>
  </si>
  <si>
    <t>H8NY26095</t>
  </si>
  <si>
    <t>S8MS00261</t>
  </si>
  <si>
    <t>H8FL06056</t>
  </si>
  <si>
    <t>S8MT00119</t>
  </si>
  <si>
    <t>S0FL00403</t>
  </si>
  <si>
    <t>H2FL03056</t>
  </si>
  <si>
    <t>H2GA11016</t>
  </si>
  <si>
    <t>P80004930</t>
  </si>
  <si>
    <t>S4LA00057</t>
  </si>
  <si>
    <t>H0FL25038</t>
  </si>
  <si>
    <t>H8OR01072</t>
  </si>
  <si>
    <t>H4FL20023</t>
  </si>
  <si>
    <t>H6AK00045</t>
  </si>
  <si>
    <t>H8PA10055</t>
  </si>
  <si>
    <t>H0NJ10026</t>
  </si>
  <si>
    <t>H8CA52052</t>
  </si>
  <si>
    <t>H2TX00015</t>
  </si>
  <si>
    <t>H2NY11017</t>
  </si>
  <si>
    <t>H0VA02035</t>
  </si>
  <si>
    <t>H2CT05131</t>
  </si>
  <si>
    <t>H6NY29168</t>
  </si>
  <si>
    <t>H0CA15031</t>
  </si>
  <si>
    <t>H8CA41063</t>
  </si>
  <si>
    <t>S6ND00058</t>
  </si>
  <si>
    <t>S8VA00214</t>
  </si>
  <si>
    <t>H2VA07030</t>
  </si>
  <si>
    <t>P80002934</t>
  </si>
  <si>
    <t>H4IL11096</t>
  </si>
  <si>
    <t>H8NY06048</t>
  </si>
  <si>
    <t>H0KY05015</t>
  </si>
  <si>
    <t>S6NV00028</t>
  </si>
  <si>
    <t>S8NM00168</t>
  </si>
  <si>
    <t>H8NM01174</t>
  </si>
  <si>
    <t>H2FL14194</t>
  </si>
  <si>
    <t>H2CA25036</t>
  </si>
  <si>
    <t>H4OH17071</t>
  </si>
  <si>
    <t>P80001779</t>
  </si>
  <si>
    <t>H6NV02032</t>
  </si>
  <si>
    <t>H0VA08040</t>
  </si>
  <si>
    <t>H2CA27107</t>
  </si>
  <si>
    <t>H6OH02086</t>
  </si>
  <si>
    <t>H0CA19173</t>
  </si>
  <si>
    <t>H6IL02124</t>
  </si>
  <si>
    <t>H4TX06117</t>
  </si>
  <si>
    <t>H2OK01093</t>
  </si>
  <si>
    <t>John Bayard Taylor Campbell III</t>
  </si>
  <si>
    <t>S0AZ00251</t>
  </si>
  <si>
    <t>H4AZ06052</t>
  </si>
  <si>
    <t>H8NY22045</t>
  </si>
  <si>
    <t>S4MT00118</t>
  </si>
  <si>
    <t>S8NV00073</t>
  </si>
  <si>
    <t>H4MA06033</t>
  </si>
  <si>
    <t>H6MI01028</t>
  </si>
  <si>
    <t>H6PA12030</t>
  </si>
  <si>
    <t>H0CA14042</t>
  </si>
  <si>
    <t>H4MO05069</t>
  </si>
  <si>
    <t>S6FL00178</t>
  </si>
  <si>
    <t>H2FL13113</t>
  </si>
  <si>
    <t>H8CA25074</t>
  </si>
  <si>
    <t>H6MN05183</t>
  </si>
  <si>
    <t>H2CA37023</t>
  </si>
  <si>
    <t>H0KS03137</t>
  </si>
  <si>
    <t>S0ID00057</t>
  </si>
  <si>
    <t>H8CA37137</t>
  </si>
  <si>
    <t>S4AK00099</t>
  </si>
  <si>
    <t>H2OH09031</t>
  </si>
  <si>
    <t>S4FL00231</t>
  </si>
  <si>
    <t>H4FL16021</t>
  </si>
  <si>
    <t>H4IN04099</t>
  </si>
  <si>
    <t>H2NC11080</t>
  </si>
  <si>
    <t>S6VA00093</t>
  </si>
  <si>
    <t>P80003023</t>
  </si>
  <si>
    <t>S0IL00261</t>
  </si>
  <si>
    <t>H0IL10120</t>
  </si>
  <si>
    <t>S6LA00227</t>
  </si>
  <si>
    <t>P00003483</t>
  </si>
  <si>
    <t>S8MT00010</t>
  </si>
  <si>
    <t>H4CA23011</t>
  </si>
  <si>
    <t>S8ID00027</t>
  </si>
  <si>
    <t>H2ID02034</t>
  </si>
  <si>
    <t>H0NY13074</t>
  </si>
  <si>
    <t>H6MN06074</t>
  </si>
  <si>
    <t>P20002978</t>
  </si>
  <si>
    <t>H6WA06021</t>
  </si>
  <si>
    <t>H0PA07082</t>
  </si>
  <si>
    <t>H4RI01034</t>
  </si>
  <si>
    <t>H0PA11050</t>
  </si>
  <si>
    <t>H2TX03126</t>
  </si>
  <si>
    <t>H6IL06117</t>
  </si>
  <si>
    <t>S8NM00010</t>
  </si>
  <si>
    <t>H0CA45012</t>
  </si>
  <si>
    <t>H0TX27061</t>
  </si>
  <si>
    <t>H2AZ01172</t>
  </si>
  <si>
    <t>S4PA00063</t>
  </si>
  <si>
    <t>P20002721</t>
  </si>
  <si>
    <t>H2WA04041</t>
  </si>
  <si>
    <t>H2CA11051</t>
  </si>
  <si>
    <t>H2CA50034</t>
  </si>
  <si>
    <t>S8NJ00392</t>
  </si>
  <si>
    <t>H0NJ01066</t>
  </si>
  <si>
    <t>S8TX00285</t>
  </si>
  <si>
    <t>H2TX16185</t>
  </si>
  <si>
    <t>S6NJ00289</t>
  </si>
  <si>
    <t>H2NJ13075</t>
  </si>
  <si>
    <t>H4OH18079</t>
  </si>
  <si>
    <t>S2NV00209</t>
  </si>
  <si>
    <t>H8NV01071</t>
  </si>
  <si>
    <t>H6TX22101</t>
  </si>
  <si>
    <t>P80000748</t>
  </si>
  <si>
    <t>S0MO00183</t>
  </si>
  <si>
    <t>H6MO07128</t>
  </si>
  <si>
    <t>H2NV00050</t>
  </si>
  <si>
    <t>H0MO06073</t>
  </si>
  <si>
    <t>H2GA02031</t>
  </si>
  <si>
    <t>H0TN04195</t>
  </si>
  <si>
    <t>H4TX18054</t>
  </si>
  <si>
    <t>H2AL06035</t>
  </si>
  <si>
    <t>H2IN05025</t>
  </si>
  <si>
    <t>H2IA05072</t>
  </si>
  <si>
    <t>H4OH19036</t>
  </si>
  <si>
    <t>H2MI00037</t>
  </si>
  <si>
    <t>P20003109</t>
  </si>
  <si>
    <t>S2AK00010</t>
  </si>
  <si>
    <t>H2FL00250</t>
  </si>
  <si>
    <t>H4TX22023</t>
  </si>
  <si>
    <t>H4GA06087</t>
  </si>
  <si>
    <t>S8DE00079</t>
  </si>
  <si>
    <t>H2DE00023</t>
  </si>
  <si>
    <t>H0NY29054</t>
  </si>
  <si>
    <t>H6FL16059</t>
  </si>
  <si>
    <t>H2PA18143</t>
  </si>
  <si>
    <t>H2NY01067</t>
  </si>
  <si>
    <t>H2OH17109</t>
  </si>
  <si>
    <t>H4AZ04024</t>
  </si>
  <si>
    <t>H4LA05130</t>
  </si>
  <si>
    <t>H6FL13148</t>
  </si>
  <si>
    <t>H6VA05068</t>
  </si>
  <si>
    <t>P20004685</t>
  </si>
  <si>
    <t>H8NY13028</t>
  </si>
  <si>
    <t>H4PA07027</t>
  </si>
  <si>
    <t>S4TN00153</t>
  </si>
  <si>
    <t>H0LA02119</t>
  </si>
  <si>
    <t>H2SD00019</t>
  </si>
  <si>
    <t>H0IL08090</t>
  </si>
  <si>
    <t>H8CA18020</t>
  </si>
  <si>
    <t>H0FL02110</t>
  </si>
  <si>
    <t>S0KS00109</t>
  </si>
  <si>
    <t>H4KS04087</t>
  </si>
  <si>
    <t>None. Became US Secretary of Health and Human Services.</t>
  </si>
  <si>
    <t>Sudden</t>
  </si>
  <si>
    <t>Charles w/s Rangel AND son</t>
  </si>
  <si>
    <t>None. Became governor.</t>
  </si>
  <si>
    <t>None. Became United States Secretary of Health and Human Services.</t>
  </si>
  <si>
    <t>Frank D. Lucas</t>
  </si>
  <si>
    <t>H4AZ06045</t>
  </si>
  <si>
    <t>H2ND00057</t>
  </si>
  <si>
    <t>Earl Ralph Pomeroy III</t>
  </si>
  <si>
    <t>H2OK02083</t>
  </si>
  <si>
    <t>H0IN03198</t>
  </si>
  <si>
    <t>S0IN00095</t>
  </si>
  <si>
    <t>H6FL01119</t>
  </si>
  <si>
    <t>H2NC12021</t>
  </si>
  <si>
    <t>H8GU01020</t>
  </si>
  <si>
    <t>H0CA15148</t>
  </si>
  <si>
    <t>H0AZ01259</t>
  </si>
  <si>
    <t>H8MI13250</t>
  </si>
  <si>
    <t>H2AZ07070</t>
  </si>
  <si>
    <t>H8PA01153</t>
  </si>
  <si>
    <t>H6TX00115</t>
  </si>
  <si>
    <t>S4OK00174</t>
  </si>
  <si>
    <t>H4OK02048</t>
  </si>
  <si>
    <t>H0WI06061</t>
  </si>
  <si>
    <t>H2TX05121</t>
  </si>
  <si>
    <t>H0MI02094</t>
  </si>
  <si>
    <t>H4OK06056</t>
  </si>
  <si>
    <t>H6CA48039</t>
  </si>
  <si>
    <t>H8NY07046</t>
  </si>
  <si>
    <t>Herbert Harvell Bateman</t>
  </si>
  <si>
    <t>Bruce Frank Vento</t>
  </si>
  <si>
    <t>John Joseph Moakley</t>
  </si>
  <si>
    <t>Frank Raleigh Lautenberg</t>
  </si>
  <si>
    <t>Paul Douglas Coverdell</t>
  </si>
  <si>
    <t>Julian Carey Dixon</t>
  </si>
  <si>
    <t>Norman Sisisky</t>
  </si>
  <si>
    <t>Patsy Matsu Takemoto Mink</t>
  </si>
  <si>
    <t>Paul David Wellstone</t>
  </si>
  <si>
    <t>Robert Takeo Matsui</t>
  </si>
  <si>
    <t>Charles Whitlow Norwood Jr.</t>
  </si>
  <si>
    <t>Juanita Millender-McDonald</t>
  </si>
  <si>
    <t>Craig Lyle Thomas</t>
  </si>
  <si>
    <t>Paul Eugene Gillmor</t>
  </si>
  <si>
    <t>Jo Ann Davis</t>
  </si>
  <si>
    <t>Julia May Carson</t>
  </si>
  <si>
    <t>Thomas Peter Lantos</t>
  </si>
  <si>
    <t>Stephanie Tubbs Jones</t>
  </si>
  <si>
    <t>Edward Moore Kennedy</t>
  </si>
  <si>
    <t>Robert Carlyle Byrd</t>
  </si>
  <si>
    <t>Daniel Ken Inouye</t>
  </si>
  <si>
    <t>Patrick Alan Nunnelee</t>
  </si>
  <si>
    <t>Kyle Mark Takai</t>
  </si>
  <si>
    <t>Dorothy Louise McIntosh Slaughter</t>
  </si>
  <si>
    <t>John Sidney McCain III</t>
  </si>
  <si>
    <t>Walter Beaman Jones Jr.</t>
  </si>
  <si>
    <t>Elijah Eugene Cummings</t>
  </si>
  <si>
    <t>Floyd Davidson Spence</t>
  </si>
  <si>
    <t>Brain cancer</t>
  </si>
  <si>
    <t>Date</t>
  </si>
  <si>
    <t>Complications from long term disease</t>
  </si>
  <si>
    <t>Viral pneumonia</t>
  </si>
  <si>
    <t>Natural causes</t>
  </si>
  <si>
    <t>H4GA10022</t>
  </si>
  <si>
    <t>S4WY00055</t>
  </si>
  <si>
    <t>H8WY00106</t>
  </si>
  <si>
    <t>S4HI00011</t>
  </si>
  <si>
    <t>H6NY03031</t>
  </si>
  <si>
    <t>S6MA00015</t>
  </si>
  <si>
    <t>H6MD07160</t>
  </si>
  <si>
    <t>H6SC02043</t>
  </si>
  <si>
    <t>H0VA01052</t>
  </si>
  <si>
    <t>S6AZ00019</t>
  </si>
  <si>
    <t>P80002801</t>
  </si>
  <si>
    <t>H6CA37222</t>
  </si>
  <si>
    <t>H6IN10141</t>
  </si>
  <si>
    <t>H8CA28029</t>
  </si>
  <si>
    <t>H4HI01134</t>
  </si>
  <si>
    <t>H2VA04011</t>
  </si>
  <si>
    <t>H0MS01043</t>
  </si>
  <si>
    <t>H6HI02038</t>
  </si>
  <si>
    <t>S0MN00013</t>
  </si>
  <si>
    <t>S2GA00035</t>
  </si>
  <si>
    <t>H8OH05044</t>
  </si>
  <si>
    <t>S6WV00014</t>
  </si>
  <si>
    <t>S2CA00302</t>
  </si>
  <si>
    <t>H8CA03014</t>
  </si>
  <si>
    <t>H8OH11067</t>
  </si>
  <si>
    <t>H0CA11022</t>
  </si>
  <si>
    <t>H2NC01081</t>
  </si>
  <si>
    <t>H6MA09032</t>
  </si>
  <si>
    <t>H6MN04103</t>
  </si>
  <si>
    <t>S2NJ00080</t>
  </si>
  <si>
    <t>H2VA01017</t>
  </si>
  <si>
    <t>House election cycles</t>
  </si>
  <si>
    <t>General election day</t>
  </si>
  <si>
    <t xml:space="preserve">Start </t>
  </si>
  <si>
    <t>End</t>
  </si>
  <si>
    <t>Link</t>
  </si>
  <si>
    <t>https://www.fec.gov/updates/contribution-limits-2019-2020/</t>
  </si>
  <si>
    <t>https://www.fec.gov/updates/contribution-limits-2017-2018/</t>
  </si>
  <si>
    <t>https://www.fec.gov/updates/contribution-limits-for-2015-2016/</t>
  </si>
  <si>
    <t>https://www.fec.gov/updates/contribution-limits-2013-2014/</t>
  </si>
  <si>
    <t>https://www.fec.gov/updates/contribution-limits-for-2011-2012/</t>
  </si>
  <si>
    <t>https://www.fec.gov/updates/contribution-limits-for-2009-2010/</t>
  </si>
  <si>
    <t>https://www.fec.gov/updates/fec-announces-updated-contribution-limits/</t>
  </si>
  <si>
    <t>https://www.fec.gov/updates/contribution-limits-for-2005-2006/</t>
  </si>
  <si>
    <t>https://www.opensecrets.org/overview/limits.php?cycle=2004</t>
  </si>
  <si>
    <t>Politician</t>
  </si>
  <si>
    <t>Year</t>
  </si>
  <si>
    <t>Break date</t>
  </si>
  <si>
    <t>State</t>
  </si>
  <si>
    <t>Minnesota</t>
  </si>
  <si>
    <t>Tennessee</t>
  </si>
  <si>
    <t>Connecticut</t>
  </si>
  <si>
    <t>Mississippi</t>
  </si>
  <si>
    <t>Montana</t>
  </si>
  <si>
    <t>Louisiana</t>
  </si>
  <si>
    <t>Virginia</t>
  </si>
  <si>
    <t>Nevada</t>
  </si>
  <si>
    <t>North Dakot</t>
  </si>
  <si>
    <t>Idaho</t>
  </si>
  <si>
    <t>Alaska</t>
  </si>
  <si>
    <t>Illinois</t>
  </si>
  <si>
    <t>New Mexico</t>
  </si>
  <si>
    <t>Pennsylvania</t>
  </si>
  <si>
    <t>New Jersey</t>
  </si>
  <si>
    <t>Delaware</t>
  </si>
  <si>
    <t>Sample</t>
  </si>
  <si>
    <t>Scandal</t>
  </si>
  <si>
    <t>Event cycle</t>
  </si>
  <si>
    <t>Death</t>
  </si>
  <si>
    <t>Georgia</t>
  </si>
  <si>
    <t>Massachusetts</t>
  </si>
  <si>
    <t>West Virginia</t>
  </si>
  <si>
    <t>Hawaii</t>
  </si>
  <si>
    <t>Wyoming</t>
  </si>
  <si>
    <t>Arizona</t>
  </si>
  <si>
    <t>Oklahoma</t>
  </si>
  <si>
    <t>https://transition.fec.gov/info/report_dates_2015.shtml</t>
  </si>
  <si>
    <t>April quarterly</t>
  </si>
  <si>
    <t>July quarterly</t>
  </si>
  <si>
    <t>October quarterly</t>
  </si>
  <si>
    <t>https://transition.fec.gov/info/report_dates_2016.shtml</t>
  </si>
  <si>
    <t>https://transition.fec.gov/info/report_dates_2017.shtml</t>
  </si>
  <si>
    <t>https://transition.fec.gov/info/report_dates_2018.shtml#quarterly</t>
  </si>
  <si>
    <t>https://www.fec.gov/help-candidates-and-committees/dates-and-deadlines/2019-reporting-dates/2019-quarterly-filers/</t>
  </si>
  <si>
    <t>Prior event cycle</t>
  </si>
  <si>
    <t>Following event cycle</t>
  </si>
  <si>
    <t>Year end</t>
  </si>
  <si>
    <t>Eventyear</t>
  </si>
  <si>
    <t>Weekday</t>
  </si>
  <si>
    <t>H4WA05077</t>
  </si>
  <si>
    <t>Left congressional office</t>
  </si>
  <si>
    <t>Michael Franklin Quitugua San Nicolas</t>
  </si>
  <si>
    <t>Meeting with lobbyist before expiration of one year cooling off period</t>
  </si>
  <si>
    <t>Other</t>
  </si>
  <si>
    <t>Personal gain</t>
  </si>
  <si>
    <t>Corruption</t>
  </si>
  <si>
    <t>Raising illegal campaign contributions from firms</t>
  </si>
  <si>
    <t>Lee solicited a woman via Craigslist. A gossip blog published a shirtless picture of Lee. At the time, Lee was married. He resigned as soon as the scandal broke.</t>
  </si>
  <si>
    <t xml:space="preserve">McKinney attacked a police officer who did not let her enter a congressional office building (he did not recognize her). </t>
  </si>
  <si>
    <t>Rangel failed to report 20 years of rental income ($75,000) on a villa in the Dominican Republic. Rangel said it was a mistake and paid back $10,800 in taxes.</t>
  </si>
  <si>
    <t>Rangel paid his son $57,000 for Internet services. The money was taken from his campaign account.</t>
  </si>
  <si>
    <t xml:space="preserve">Rivera failed to disclose a $137,000 loan that he received from a company co-owned by his mother. Moreover, he allegedly paid himself $60,000 out of his campaign funds. The FBI and IRS opened a criminal probe, looking into whether Rivera had received any illegal funds through the loan. They suspected ties between Rivera and one of his mother’s company clients (Flagler Dog Track). </t>
  </si>
  <si>
    <t>Reyes reimbursed himself and his family nearly $600,000 from his campaign funds.</t>
  </si>
  <si>
    <t>The House Ethics Committee started an investigation into allegations that Tlaib misused campaign contributions. She allegedly paid herself a salary of $45,500 from campaign funds, a part of which may have been paid after her election to the House in 2018, which is a violation of election rules.</t>
  </si>
  <si>
    <t xml:space="preserve">Sweeney did not disclose a paid trip to the Northern Mariana Islands, accompanied by an employee of scandal lobbyist Abramoff. The Saipan Chamber of Commerce in the Commonwealth of the Northern Mariana Islands paid Sweeney to deliver a speech. Sweeney's office responded that Congress members do not have to disclose travels sponsored by the government. </t>
  </si>
  <si>
    <t>Gibbons steered millions in federal contracts to a friend's company (Warren Trepp, owner of eTreppid Technologies) in exchange for campaign contributions. Moreover, Trepp allegedly paid for trips for Gibbons and Gibbon's wife, which Gibbons did not report.</t>
  </si>
  <si>
    <t xml:space="preserve">Murkowski bought a house on the Kenai River in Alaska from a longtime friend at a below-market rate. After the news broke, she announced that she would sell the house back. </t>
  </si>
  <si>
    <t>Dodd was accused of getting sweetheart loans from Countrywide Financial. He was cleared and scolded on August 7, 2009.</t>
  </si>
  <si>
    <t>Conrad was accused of getting sweetheart loans from Countrywide Financial. He was cleared and scolded on August 7, 2009.</t>
  </si>
  <si>
    <t>Rangel raised funds for an academic center that carried his name at big corporations with potential political interest. At the time, Rangel was the chairman of the Ways and Means congressional committee, overseeing tax and trade matters.</t>
  </si>
  <si>
    <t>States News Service</t>
  </si>
  <si>
    <t>USA TODAY</t>
  </si>
  <si>
    <t>Top Democrat faces investigation for groping radio host</t>
  </si>
  <si>
    <t>Agence France Presse -- English</t>
  </si>
  <si>
    <t>Alabama G.O.P. Says It Stands Behind Roy Moore</t>
  </si>
  <si>
    <t>The New York Times</t>
  </si>
  <si>
    <t>Grayson accused of shoving wife</t>
  </si>
  <si>
    <t>Politico.com</t>
  </si>
  <si>
    <t>GRAYSON LOSES SUPPORT AMID DOMESTIC ABUSE ALLEGATIONS</t>
  </si>
  <si>
    <t>Tampa Bay Times</t>
  </si>
  <si>
    <t>Alan Grayson erupts as Senate bid looms</t>
  </si>
  <si>
    <t>LET'S GO OFF THE SCRIPT AND GET A LITTLE CRAZY</t>
  </si>
  <si>
    <t>ETHICS; ET TU, MOLLOHAN?</t>
  </si>
  <si>
    <t>The Washington Post</t>
  </si>
  <si>
    <t>Republicans Say Mollohan Should Quit Ethics Post</t>
  </si>
  <si>
    <t>THE HOTLINE</t>
  </si>
  <si>
    <t>Alcee Hastings accused of sexual harassment</t>
  </si>
  <si>
    <t>Washingtonpost.com</t>
  </si>
  <si>
    <t>Wall Street Journal Abstracts</t>
  </si>
  <si>
    <t>CNN.com</t>
  </si>
  <si>
    <t>Multiple Lawmakers Under Investigation Over Ethical Misconduct</t>
  </si>
  <si>
    <t>Weiner: Hackers posted lewd photos</t>
  </si>
  <si>
    <t>Congressman Says Hacker Sent Lewd Photo Using His Name</t>
  </si>
  <si>
    <t>Exclusive: FBI probed GOP trip with drinking, nudity in Israel</t>
  </si>
  <si>
    <t>House Member Is Rebuked After Nude Swim in Israel</t>
  </si>
  <si>
    <t>For the Black Caucus, New Power and an Urgency in Using It</t>
  </si>
  <si>
    <t>The New York Post</t>
  </si>
  <si>
    <t>House ethics committee criticizes</t>
  </si>
  <si>
    <t>The Associated Press</t>
  </si>
  <si>
    <t>Ethics Panel Rebukes DeLay; Majority Leader Offered Favor To Get Peer's Vote</t>
  </si>
  <si>
    <t>218: Ethics Committee Probing McMorris Rodgers' Leadership Campaign</t>
  </si>
  <si>
    <t>Congressional Quarterly News</t>
  </si>
  <si>
    <t>Ethics Panel to Review Lawmaker's Spending</t>
  </si>
  <si>
    <t>Ex-top aide to Congressman Fattah pleads guilty</t>
  </si>
  <si>
    <t>Former aide's guilty plea raises questions for Fattah</t>
  </si>
  <si>
    <t>The Philadelphia Inquirer</t>
  </si>
  <si>
    <t>Tangled Web: Rangel son got campaign cash</t>
  </si>
  <si>
    <t>RANGEL PAID SON $57,500 FOR WEB WORK</t>
  </si>
  <si>
    <t>Report: NY congressman has 4 rent-stabilized units</t>
  </si>
  <si>
    <t>For Rangel, Four Rent-Stabilized Apartments</t>
  </si>
  <si>
    <t>Report: Rangel efforts benefited donor</t>
  </si>
  <si>
    <t>UPI</t>
  </si>
  <si>
    <t>Congressional Quarterly Today</t>
  </si>
  <si>
    <t>Rangel's Wealth Jumps After Disclosure</t>
  </si>
  <si>
    <t>NEW DISCLOSURE REVEALS RANGEL'S HIDDEN WEALTH</t>
  </si>
  <si>
    <t>Daily News (New York)</t>
  </si>
  <si>
    <t>The Congressman, the Donor and the Tax Break</t>
  </si>
  <si>
    <t>The Associated Press State &amp; Local Wire</t>
  </si>
  <si>
    <t>Lawmakers detail finances during year of scandal</t>
  </si>
  <si>
    <t>HOUSE ETHICS PANEL IS URGED TO OPEN NEW INVESTIGATION</t>
  </si>
  <si>
    <t>Watchdog group calls for probe of lawmaker's ties to lobbyist</t>
  </si>
  <si>
    <t>Copley News Service</t>
  </si>
  <si>
    <t>Lewis Denies Discussing Contract With Donors</t>
  </si>
  <si>
    <t>No Headline In Original</t>
  </si>
  <si>
    <t>Targeted News Service</t>
  </si>
  <si>
    <t>Florida Dems: Bill Young's Earmarks Raise Nepotism Red Flags</t>
  </si>
  <si>
    <t>YOUNG'S EARMARKS HELPHIS CHILDREN'S EMPLOYERS</t>
  </si>
  <si>
    <t>THURMOND: LOTT PROUD OF DIXIECRAT ROLE</t>
  </si>
  <si>
    <t>The Hotline</t>
  </si>
  <si>
    <t>Indicted Rep. Collins was early loyalist to Trump</t>
  </si>
  <si>
    <t>New York Congressman Chris Collins Is Charged With Insider Trading</t>
  </si>
  <si>
    <t>Canwest News Service</t>
  </si>
  <si>
    <t>New York Congressman Quits After E-Mail Exchange Is Posted Online</t>
  </si>
  <si>
    <t>Sens. Dodd, Conrad tied to special mortgage deals</t>
  </si>
  <si>
    <t>LENDER OFFENDER'S SWEET DEALS TO 2 KEY DEMS</t>
  </si>
  <si>
    <t>Consultant accused of cheating Indian tribes takes Fifth</t>
  </si>
  <si>
    <t>Papers Show Tribe Paid to Try to Sway Bill</t>
  </si>
  <si>
    <t>UPI.com</t>
  </si>
  <si>
    <t>Ethics panel seeks data on 8 lawmakers</t>
  </si>
  <si>
    <t>Ethics Panel Looks at Votes of 8 House Members</t>
  </si>
  <si>
    <t>Traficant under investigation; hands over records</t>
  </si>
  <si>
    <t>Is Ohio's Traficant too colorful for Congress?</t>
  </si>
  <si>
    <t>On TV, Covering 'The Issues' From From A to Zzzzzz</t>
  </si>
  <si>
    <t>Report Cites Thomas' Relationship With Health Lobbyist</t>
  </si>
  <si>
    <t>National Journal's CongressDaily</t>
  </si>
  <si>
    <t>D.C. COPS MYSTIFIED AS INTERN VANISHES</t>
  </si>
  <si>
    <t>Ethics Probes Decline On Hill; Parties' Truce Leads to Inaction</t>
  </si>
  <si>
    <t>Rep. Karen McCarthy to check into rehab</t>
  </si>
  <si>
    <t>NAMES &amp; FACES</t>
  </si>
  <si>
    <t>Politics:Santorum Rebuked for Anti-Gay Remarks</t>
  </si>
  <si>
    <t>Facts on File World News Digest</t>
  </si>
  <si>
    <t>G.O.P. Senator's Remark on Gays Draws Fire</t>
  </si>
  <si>
    <t>U.S. Newswire</t>
  </si>
  <si>
    <t>Political parties both sink in poll</t>
  </si>
  <si>
    <t>St. Petersburg Times (Florida)</t>
  </si>
  <si>
    <t>Congressman's wife says it was a mistake to talk publicly about divorce</t>
  </si>
  <si>
    <t>WASHINGTON IN BRIEF</t>
  </si>
  <si>
    <t>Weldon backed causes as daughter got clients</t>
  </si>
  <si>
    <t>House Ethics Panel Says DeLay Tried to Trade Favor for a Vote</t>
  </si>
  <si>
    <t>Wu Admits 'Inexcusable Behavior'; Poll Shows Sessions Up</t>
  </si>
  <si>
    <t>Not Playing on MTV: Political Ads</t>
  </si>
  <si>
    <t>Records show congressman paid large sum to family</t>
  </si>
  <si>
    <t>DeLay has company in ethical gray areas</t>
  </si>
  <si>
    <t>Tribal Money Linked to GOP Fundraising; Skybox Events Were Not Always Reported to FEC</t>
  </si>
  <si>
    <t>National Journal's House Race Hotline</t>
  </si>
  <si>
    <t>More Than The Usual Ethics Headache?</t>
  </si>
  <si>
    <t>DeLay Moves To Protect His Political Base Back in Texas</t>
  </si>
  <si>
    <t>Former Conyers aides press ethics complaints</t>
  </si>
  <si>
    <t>The Hill</t>
  </si>
  <si>
    <t>Ex-Aide to Conyers Refiles Ethics Complaint</t>
  </si>
  <si>
    <t>Cox News Service</t>
  </si>
  <si>
    <t>GEORGIA REP. MCKINNEY STRIKES CAPITOL HILL POLICE OFFICER</t>
  </si>
  <si>
    <t>The Reliable Source</t>
  </si>
  <si>
    <t>Rep. Kennedy confirms car accident near Capitol</t>
  </si>
  <si>
    <t>Rep. Kennedy crashes car, blames medicine</t>
  </si>
  <si>
    <t>Corona Rep. Ken Calvert earned big bucks in land deals</t>
  </si>
  <si>
    <t>Lawmakers' Profits Are Scrutinized; Hastert and Others Defend Land Gains</t>
  </si>
  <si>
    <t>Mississippi Senator’s ‘Public Hanging’ Remark Draws Backlash Before Runoff</t>
  </si>
  <si>
    <t>County clerk accuses Rep. Cliff Stearns of trying to buy him out of race</t>
  </si>
  <si>
    <t>Tampa Bay Times Blogs</t>
  </si>
  <si>
    <t>Burns linked to school funding for wealthy Indian tribe</t>
  </si>
  <si>
    <t>Charity with ties to congresswoman target of fraud case</t>
  </si>
  <si>
    <t>The Northern Star: Northern Illinois University</t>
  </si>
  <si>
    <t>ETHICS PANEL INVESTIGATES REP. BROWN</t>
  </si>
  <si>
    <t>GOP senator admits link to escort service</t>
  </si>
  <si>
    <t>Senator's Number on 'Madam' Phone List</t>
  </si>
  <si>
    <t>Global Broadcast Database</t>
  </si>
  <si>
    <t>THE BUZZ: FLORIDA POLITICS</t>
  </si>
  <si>
    <t>Ethics committee unveils review of Arizona lawmaker, aide</t>
  </si>
  <si>
    <t>GOP LAWMAKERS FACE RENEWED PROBES</t>
  </si>
  <si>
    <t>Report: Congressman urged to get psychiatric help</t>
  </si>
  <si>
    <t>Wu tames his tiger?</t>
  </si>
  <si>
    <t>Wu at center of sex allegation</t>
  </si>
  <si>
    <t>Oregon Rep. Wu faces sex allegation</t>
  </si>
  <si>
    <t>Bernie Sanders supporters sue Debbie Wasserman Schultz, DNC for 'fraud'</t>
  </si>
  <si>
    <t>Debbie Wasserman Schultz to Resign D.N.C. Post</t>
  </si>
  <si>
    <t>Atlantic Online</t>
  </si>
  <si>
    <t>Super Double Corrupt</t>
  </si>
  <si>
    <t>Alaskan Gets Campaign Cash; Florida Road Gets U.S. Funds</t>
  </si>
  <si>
    <t>AFX International Focus</t>
  </si>
  <si>
    <t>Alaska Rep. Young faces federal probe</t>
  </si>
  <si>
    <t>ALASKA'S YOUNG, STEVENS FACE INQUIRY</t>
  </si>
  <si>
    <t>Two Congressmen Will Face Inquiries on Personal Spending</t>
  </si>
  <si>
    <t>PA10: Sherwood Denies Woman's Choking Allegations</t>
  </si>
  <si>
    <t>The Frontrunner</t>
  </si>
  <si>
    <t>Geek.com</t>
  </si>
  <si>
    <t>Republican congressman spends $1,302 of campaign funds on Steam</t>
  </si>
  <si>
    <t>The GOP blame (the media) game</t>
  </si>
  <si>
    <t>The San Diego Union Tribune</t>
  </si>
  <si>
    <t>Disaster Candidates Beyond Trump</t>
  </si>
  <si>
    <t>U.S. Rep. Johnson says didn't know rules</t>
  </si>
  <si>
    <t>Scholarships Are Focus Of Questions On Ethics</t>
  </si>
  <si>
    <t>Lawmakers Face Accusations In Investigation Of Countrywide Loans</t>
  </si>
  <si>
    <t>KEY LAWMAKER RECEIVED COUNTRYWIDE LOANS</t>
  </si>
  <si>
    <t>Congresswoman says sorry for not protecting female employees</t>
  </si>
  <si>
    <t>Postmedia Breaking News</t>
  </si>
  <si>
    <t>Rep. Esty retained aide for 3 months after threat</t>
  </si>
  <si>
    <t>Massa Won't Seek Reelection</t>
  </si>
  <si>
    <t>UPSTATE REP. QUITS RACE AMID HARASS RUMORS</t>
  </si>
  <si>
    <t>Miller borrowed $7.5M to buy contributor's land</t>
  </si>
  <si>
    <t>F.B.I. Investigating Complaint Against California Lawmaker</t>
  </si>
  <si>
    <t>Report: Congressman's claims for tax break on land deals disputed</t>
  </si>
  <si>
    <t>Conrad says he never sought special treatment in loans</t>
  </si>
  <si>
    <t>Wonkette</t>
  </si>
  <si>
    <t>Allen Quip Provokes Outrage, Apology; Name Insults Webb Volunteer</t>
  </si>
  <si>
    <t>Voting Will Reflect Republican Retirements</t>
  </si>
  <si>
    <t>POLS PUSHED $$ INTO THEIR DO-NOTHING QNS. CHARITY</t>
  </si>
  <si>
    <t>Figure Under Scrutiny in Inquiry Into Charity Was on Senate Payroll</t>
  </si>
  <si>
    <t>POOR' MEEKS LISTS BIG ZERO IN ASSETS</t>
  </si>
  <si>
    <t>AP Exclusive: Reid got $1 million for land he hadn't owned for 3 years</t>
  </si>
  <si>
    <t>AP News in Brief</t>
  </si>
  <si>
    <t>Sen. Reid backed funding for bridge near property holding</t>
  </si>
  <si>
    <t>SUPREME COURT UPHOLDS DEATH PENALTY IN CALIF.</t>
  </si>
  <si>
    <t>Reid apologizes for 'Negro' remark</t>
  </si>
  <si>
    <t>Reid Apologizes for Remarks On Obama's Color and Dialect</t>
  </si>
  <si>
    <t>Fla. Congressman charged with cocaine possession</t>
  </si>
  <si>
    <t>Radel facing cocaine charge</t>
  </si>
  <si>
    <t>AP source: House Republicans got discounted loans</t>
  </si>
  <si>
    <t>LAWMAKERS TIED TO VIP LOAN</t>
  </si>
  <si>
    <t>The Waitress, the Maid and the Candidate</t>
  </si>
  <si>
    <t>House ethics panel reviewing campaign money</t>
  </si>
  <si>
    <t>Eye-Opening Earmarks; A brewing ethics controversy in the House</t>
  </si>
  <si>
    <t>Wiretap Recorded Rep. Harman Discussing Aid for AIPAC Defendants</t>
  </si>
  <si>
    <t>Congressional Quarterly Homeland Security</t>
  </si>
  <si>
    <t>Lawmaker Is Said To Have Agreed To Aid Lobbyists</t>
  </si>
  <si>
    <t>Ohio Daily Blog</t>
  </si>
  <si>
    <t>DEVELOPING : Jean Schmidt Under Investigation</t>
  </si>
  <si>
    <t>House Ethics Panel Confirms Two Investigations</t>
  </si>
  <si>
    <t>Lawmaker apologizes for Galilee skinny dip</t>
  </si>
  <si>
    <t>CNN</t>
  </si>
  <si>
    <t>The Daily Telegraph (London)</t>
  </si>
  <si>
    <t>Jesse Jackson Jr named as 'man who tried to buy Obama's seat'</t>
  </si>
  <si>
    <t>Business Insider US</t>
  </si>
  <si>
    <t>Texas GOP Rep. apologizes for nude photo circulating online</t>
  </si>
  <si>
    <t>Joe Barton, Senior Republican, Caught in Storm Over Explicit Photo</t>
  </si>
  <si>
    <t>Oklahoma congressman seeks alcohol treatment</t>
  </si>
  <si>
    <t>Amid calls for resignation, Weiner goes in for treatment</t>
  </si>
  <si>
    <t>Sweeney trip to Mariana Islands may have broken ethics rules</t>
  </si>
  <si>
    <t>Congressman in Tough Race Faces Ethics Questions on Pacific Trip</t>
  </si>
  <si>
    <t>Reports: Sweeney's Wife Alleged Violence In 911 Call</t>
  </si>
  <si>
    <t>UPSTATE REP BEAT WIFE RAP. NO ASSAULT BUST AFTER SHE CALLED 911</t>
  </si>
  <si>
    <t>Senator's Thesis Turns Out to Be Remix of Others' Works, Uncited</t>
  </si>
  <si>
    <t>Washington Post Blogs</t>
  </si>
  <si>
    <t>Report: Sen. John Walsh (D-Mont.) plagiarized War College thesis</t>
  </si>
  <si>
    <t>Salon.com</t>
  </si>
  <si>
    <t>Nevada Sen. Ensign admits to affair</t>
  </si>
  <si>
    <t>And The Congressman Knew Nothing About It?</t>
  </si>
  <si>
    <t>Joust the Facts</t>
  </si>
  <si>
    <t>Family Ties to Gambling Re-emerge in House Race</t>
  </si>
  <si>
    <t>FEDERAL INFLUENCE-PEDDLING INQUIRY CASTS WIDER NET</t>
  </si>
  <si>
    <t>Contractor under inquiry helped Harris' campaign</t>
  </si>
  <si>
    <t>Katherine Harris in heaven? It's more likely than the U.S. Senate</t>
  </si>
  <si>
    <t>Rep. Harris Condemns Separation of Church, State</t>
  </si>
  <si>
    <t>Newstex Blogs</t>
  </si>
  <si>
    <t>New York Magazine</t>
  </si>
  <si>
    <t>NUDES FLASH! SKINNY-DIPPING POL IN SEA OF GALILEE</t>
  </si>
  <si>
    <t>Idaho Sen. Craig pleads guilty to disorderly conduct at airport</t>
  </si>
  <si>
    <t>Senator, Arrested in an Airport Bathroom, Pleads Guilty</t>
  </si>
  <si>
    <t>Calif. congresswoman's home threatened with repo</t>
  </si>
  <si>
    <t>Congresswoman's Financial Report: This Won't Be Pretty.</t>
  </si>
  <si>
    <t>CNN Wire</t>
  </si>
  <si>
    <t>Ethics Committee to investigate Democratic Rep. Laura Richardson</t>
  </si>
  <si>
    <t>Democrat Reprimanded For Misusing Staff in Race</t>
  </si>
  <si>
    <t>Sen. Murkowski involved in questionable land deal</t>
  </si>
  <si>
    <t>Nation in brief</t>
  </si>
  <si>
    <t>Dozens of House members scrutinized, report shows</t>
  </si>
  <si>
    <t>Under scrutiny</t>
  </si>
  <si>
    <t>St. Petersburg Times Blogs</t>
  </si>
  <si>
    <t>Foley emails to page become campaign issue</t>
  </si>
  <si>
    <t>E&amp;E News PM</t>
  </si>
  <si>
    <t>HOUSE: Indiana Rep. Souder to resign, saying he 'sinned against God'</t>
  </si>
  <si>
    <t>The Christian Science Monitor</t>
  </si>
  <si>
    <t>MailOnline</t>
  </si>
  <si>
    <t>Ethics Committee Rebukes Mark Meadows Over Aide’s Sexual Misconduct</t>
  </si>
  <si>
    <t>State Capital Newsfeed</t>
  </si>
  <si>
    <t>Daily Kos Gleefully Boasted About Being Bribed by Mark Warner</t>
  </si>
  <si>
    <t>Warner discussed job for Puckett's daughter</t>
  </si>
  <si>
    <t>IL: Kirk Hit With FEC Complaint Lodged By His Ex-Wife</t>
  </si>
  <si>
    <t>Campaign Expenses: Trouble With the Exes</t>
  </si>
  <si>
    <t>Ethics committee expected to give update on Mullin</t>
  </si>
  <si>
    <t>IN: Under Scrutiny, Stutzman Reimburses Campaign For Family Trip</t>
  </si>
  <si>
    <t>GOP lawmaker hired brother-in-law</t>
  </si>
  <si>
    <t>Congress' Control Of DC School System Noted</t>
  </si>
  <si>
    <t>A Reading Program's Powerful Patron</t>
  </si>
  <si>
    <t>Baucus nominated girlfriend for U.S. Attorney job</t>
  </si>
  <si>
    <t>Baucus Recommended Girlfriend as Prosecutor</t>
  </si>
  <si>
    <t>ProPublica</t>
  </si>
  <si>
    <t>Bailed Out Bank Had Friends in High Places</t>
  </si>
  <si>
    <t>A Representative, Her Ties and a Bank Meeting</t>
  </si>
  <si>
    <t>Crapo apologizes after DUI</t>
  </si>
  <si>
    <t>Congressional Documents and Publications</t>
  </si>
  <si>
    <t>House Ethics Committee Opens Investigation Into Guam Delegate</t>
  </si>
  <si>
    <t>Rabbi's Followers Cast Doubts On Congressman's Fund-Raising</t>
  </si>
  <si>
    <t>Feds close to filing charges against Rep. Michael Grimm, officials say</t>
  </si>
  <si>
    <t>Congressman Said to Face U.S. Charges of Fraud</t>
  </si>
  <si>
    <t>California Lawmaker Is Focus of House Ethics Panel Inquiry</t>
  </si>
  <si>
    <t>Christian Newswire</t>
  </si>
  <si>
    <t>Ethics office is investigating Bachmann</t>
  </si>
  <si>
    <t>McClatchy Washington Bureau</t>
  </si>
  <si>
    <t>Dicks denies any wrongdoing as ethics panel probes PMA links</t>
  </si>
  <si>
    <t>The Guardian</t>
  </si>
  <si>
    <t>He Fought Harassment, Then Settled Own Case</t>
  </si>
  <si>
    <t>Arizona Republican Calls for 'Dreamers' to be Arrested at State of the Union</t>
  </si>
  <si>
    <t>USNEWS.com</t>
  </si>
  <si>
    <t>House GOP chair got discounted loan</t>
  </si>
  <si>
    <t>EARNINGS</t>
  </si>
  <si>
    <t>Taiwan trip center of Roskam probe</t>
  </si>
  <si>
    <t>Ethics Panel Extends Inquiries of 4 House Members</t>
  </si>
  <si>
    <t>News 10:00 PM ABC</t>
  </si>
  <si>
    <t>News at 6 6:00 PM ABC</t>
  </si>
  <si>
    <t>Fired U.S. Attorney Says Lawmakers Pressured Him</t>
  </si>
  <si>
    <t>Settlement of $84,000 For Legislator's Accuser</t>
  </si>
  <si>
    <t>The National Journal</t>
  </si>
  <si>
    <t>The New York Times Blogs</t>
  </si>
  <si>
    <t>Texas Congressman Sued by Aide Who Complained of Mistreatment</t>
  </si>
  <si>
    <t>Ethics panel reviews claims against Tlaib, 2 Republicans</t>
  </si>
  <si>
    <t>Interior Secretary Unleashes Extraordinary Attack on Democratic Lawmaker</t>
  </si>
  <si>
    <t>Congressman From Arizona Is the Focus Of an Inquiry</t>
  </si>
  <si>
    <t>AZ1: Renzi May Be Subject Of Two Separate Federal Inquiries</t>
  </si>
  <si>
    <t>Lawmaker's Influence in Land Deals Probed</t>
  </si>
  <si>
    <t>Renzi takes leave from House committee amid federal investigation</t>
  </si>
  <si>
    <t>2nd House Republican Yields Committee Post</t>
  </si>
  <si>
    <t>CBS News Transcripts</t>
  </si>
  <si>
    <t>Congress holds hearing about fired US attorneys</t>
  </si>
  <si>
    <t>Report: Congressman Pombo had conflict in wind power dealings</t>
  </si>
  <si>
    <t>CONSERVATIONISTS' 'BOGEYMAN'</t>
  </si>
  <si>
    <t>Woman pleads guilty in scheme to pay off Brady challenger</t>
  </si>
  <si>
    <t>Lawyers for Brady, rival rebut claims of illegal campaign payoff</t>
  </si>
  <si>
    <t>Filner summoned to court over encounter with United Airlines employee</t>
  </si>
  <si>
    <t>Congressman to refund expenses of Scotland trip</t>
  </si>
  <si>
    <t>Andrews criticized for campaign spending</t>
  </si>
  <si>
    <t>CaptainKudzu</t>
  </si>
  <si>
    <t>Three Shocking Developments In the Cruz-O'Rourke Senate Race</t>
  </si>
  <si>
    <t>Beto O'Rourke's claim that he did not try to leave the scene of a DWI crash</t>
  </si>
  <si>
    <t>Sen. Menendez hooker scandal</t>
  </si>
  <si>
    <t>St. Paul Pioneer Press</t>
  </si>
  <si>
    <t>New Jersey Sen. Menendez's backer target of FBI raid</t>
  </si>
  <si>
    <t>Senator Has Long Ties to Donor Under Scrutiny</t>
  </si>
  <si>
    <t>Ney Under Investigation For Role In Alleged Fraud Linked To Abramoff</t>
  </si>
  <si>
    <t>House Democratic Leader Seeks Investigation Over a Contract</t>
  </si>
  <si>
    <t>Berkley's efforts for kidney care raise questions</t>
  </si>
  <si>
    <t>Nevada Congresswoman's Cause Is Often Her Husband's Gain</t>
  </si>
  <si>
    <t>MSNBC TUCKER</t>
  </si>
  <si>
    <t>For January 7, 2008</t>
  </si>
  <si>
    <t>New Focus On Bias In Articles Paul Printed</t>
  </si>
  <si>
    <t>MSNBC THE RACHEL MADDOW SHOW</t>
  </si>
  <si>
    <t>THE RACHEL MADDOW SHOW for August 6, 2013</t>
  </si>
  <si>
    <t>McConnell manager says he took job 'holding my nose'</t>
  </si>
  <si>
    <t>Ruben w/s Kihuen AND sex</t>
  </si>
  <si>
    <t>Michael Flynn, Tax Bill, Rex Tillerson: Your Evening Briefing</t>
  </si>
  <si>
    <t>Ethics Panel Probing Reps. Jackson Jr., Graves, Waters</t>
  </si>
  <si>
    <t>The Atlanta Journal-Constitution</t>
  </si>
  <si>
    <t>Political Insider; GBI looks at a congressman's stepdaughter with two jobs</t>
  </si>
  <si>
    <t>Other cases</t>
  </si>
  <si>
    <t>Bishop steered scholarships to family</t>
  </si>
  <si>
    <t>Georgia Democrat's Win Was Rare One in State</t>
  </si>
  <si>
    <t>Transcript: Rep. Scott DesJarlais urged abortion</t>
  </si>
  <si>
    <t>Neither candidate's averse to this offshoring</t>
  </si>
  <si>
    <t>Not Weinergate, But Questions Abound</t>
  </si>
  <si>
    <t>THE BUSINESS DOUBLE STANDARD</t>
  </si>
  <si>
    <t>The Huffington Post</t>
  </si>
  <si>
    <t>Rep. Sheila Jackson Lee Accused Of Firing Staffer Over Rape Allegation</t>
  </si>
  <si>
    <t>Two Steps Forward, One Step Back</t>
  </si>
  <si>
    <t>Study Shows House Members Profit</t>
  </si>
  <si>
    <t>Benzinga</t>
  </si>
  <si>
    <t>Congress Bet Against Economy as it Cratered</t>
  </si>
  <si>
    <t>Newsweek</t>
  </si>
  <si>
    <t>Buyer Draws Fire For Scholarship Organization</t>
  </si>
  <si>
    <t>For Bruno, Golf Course Was Place for Deals and Arm-Twisting</t>
  </si>
  <si>
    <t>Mediaite</t>
  </si>
  <si>
    <t>Congress immig-kid hearing a bad DREAM</t>
  </si>
  <si>
    <t>PR Newswire</t>
  </si>
  <si>
    <t>CAIR Calls on GOP to Repudiate Iowa Rep. Steve King's 'Racist' Tweet</t>
  </si>
  <si>
    <t>A Bullhorn of Anti-Immigrant Rhetoric, Long Before Trump Started</t>
  </si>
  <si>
    <t>The Business Insider</t>
  </si>
  <si>
    <t>GOP shocked over congressman's petition woes</t>
  </si>
  <si>
    <t>CAMPAIGN WATCH</t>
  </si>
  <si>
    <t>Anchorage Daily News (Alaska)</t>
  </si>
  <si>
    <t>In Alaska, Bribery Investigation Looks at 'Uncle Ted'</t>
  </si>
  <si>
    <t>Coburn rapped by Ethics Committee</t>
  </si>
  <si>
    <t>Abramoff Arranged Golf Junkets For Two Other Lawmakers</t>
  </si>
  <si>
    <t>GOP Worries Ethics Issue May Hurt Party in '06</t>
  </si>
  <si>
    <t>Democrats target HHS nominee's health industry stock trades</t>
  </si>
  <si>
    <t>Australian Drug Maker Has Low Profile but Powerful Backers in Washington</t>
  </si>
  <si>
    <t>WisDems Daily Update-- Clips- February 10, 2014</t>
  </si>
  <si>
    <t>Ethics Inquiry Urged for Wisconsin Congressman</t>
  </si>
  <si>
    <t>In a season of tumult, a test for longtime senator in Del.</t>
  </si>
  <si>
    <t>Pennsylvania lawmaker confirms extramarital affair with personal friend</t>
  </si>
  <si>
    <t>Anti-Abortion Congressman Asked Woman to Have One, Report Says</t>
  </si>
  <si>
    <t>Bishop's bar mitzvah episode may spell trouble</t>
  </si>
  <si>
    <t>L.I. pol faces ethics probe</t>
  </si>
  <si>
    <t>Rep. Tim Ryan arrested in August for public intoxication</t>
  </si>
  <si>
    <t>Intoxication arrest was bottled up</t>
  </si>
  <si>
    <t>Arizona GOP Rep. Trent Franks to resign following sexual harassment claim</t>
  </si>
  <si>
    <t>House Republican Trent Franks Resigns Amid Harassment Investigation</t>
  </si>
  <si>
    <t>Business 2 Community.com</t>
  </si>
  <si>
    <t>National briefs: Over 35 shots fired in Fort Hood rampage</t>
  </si>
  <si>
    <t>Roll Call</t>
  </si>
  <si>
    <t>Buchanan Faces Another Lawsuit</t>
  </si>
  <si>
    <t>Sarasota Herald Tribune</t>
  </si>
  <si>
    <t>Fla. lawmaker's financial reporting faulted</t>
  </si>
  <si>
    <t>VA Rep Asked to Apologize for Anti-Muslim Remarks</t>
  </si>
  <si>
    <t>Congressman Criticizes Election of Muslim</t>
  </si>
  <si>
    <t>NYC congressman charged with DWI outside DC</t>
  </si>
  <si>
    <t>FTCR: SEC Should Subpoena Senator Frist Concerning HCA Stock Sale</t>
  </si>
  <si>
    <t>Agency Calls on Frist About Timing of Stock Sale</t>
  </si>
  <si>
    <t>Local News 5:00 PM ABC</t>
  </si>
  <si>
    <t>FBI Searches Louisiana Congressman's Homes</t>
  </si>
  <si>
    <t>Major news date</t>
  </si>
  <si>
    <t>International Business Times News</t>
  </si>
  <si>
    <t>Tea Party Budget Hawk Joe Walsh Owes $111K in Child Support</t>
  </si>
  <si>
    <t>A Tea Party Congressman Who Could Be a Test Case</t>
  </si>
  <si>
    <t>REP. STEARNS ACCUSED OF TRYING TO BRIBE RIVAL</t>
  </si>
  <si>
    <t>Lawmakers fund charities with earmarks; More than $89 million over past 3 years has been directed to groups with ties to legislators</t>
  </si>
  <si>
    <t>Some Lawmakers Use Earmarks To Fund Charities With Close Personal Ties</t>
  </si>
  <si>
    <t>Rep. Jesse Jackson Jr. "Deeply Sorry" for "Relationship" with Restaurant Hostess Giovana Huidobro</t>
  </si>
  <si>
    <t>The Hinterland Gazette</t>
  </si>
  <si>
    <t>FBI raids contractor with Murtha link</t>
  </si>
  <si>
    <t>U.S. Raids a Lobbying Firm With Ties to a Congressman</t>
  </si>
  <si>
    <t>The Oakland Tribune (California)</t>
  </si>
  <si>
    <t>Congressman Mike Honda grapples with ethics report's release</t>
  </si>
  <si>
    <t>PA11: Kanjorski Camp Says Barletta, GOP Backers Behind Derailed Ethics Complaint.</t>
  </si>
  <si>
    <t>The Bulletin's Frontboard</t>
  </si>
  <si>
    <t>Voters still steaming</t>
  </si>
  <si>
    <t>Rangel's Pet Cause Bears His Own Name; Firms With Business Before Panel Solicited</t>
  </si>
  <si>
    <t>CREW FILES ETHICS COMPLAINT AGAINST REP. AARON SCHOCK FOR ACCEPTING FREE INTERIOR DESIGN WORK</t>
  </si>
  <si>
    <t>Rep. Schock one of top travel spenders; Illinois Republican spent $102,000 on his journeys in 2013</t>
  </si>
  <si>
    <t>2chambers: Fla. Democratic congressman faces sexual harassment allegation</t>
  </si>
  <si>
    <t>Ethics panel announces Florida Democrat faces investigation over allegations of relationship with a staffer</t>
  </si>
  <si>
    <t>SHADY ISLAND 'HOUSE' PARTY; POLS' TRIP TO CARIBBEAN SKIRTED RULES</t>
  </si>
  <si>
    <t>HOUSE ETHICS PANEL PROBES LAWMAKERS' TRAVEL TO CARIBBEAN EVENTS</t>
  </si>
  <si>
    <t>TRICKY CHARLIE'S CARIB 'HIDEAWAY' ; SHADY FILINGS ON BEACH-VILLA RENTAL INCOME</t>
  </si>
  <si>
    <t>Louisiana Postpones Primary; Voting on Congressional Seats Is Not Rescheduled Yet</t>
  </si>
  <si>
    <t>Group asks Justice Dept. to investigate whether lawmaker was influenced by donations</t>
  </si>
  <si>
    <t>Millions For D.C. Projects In '08 Bills; But Congress Might Reduce Earmarks</t>
  </si>
  <si>
    <t>Lott Decried For Part Of Salute to Thurmond; GOP Senate Leader Hails Colleague's Run As Segregationist</t>
  </si>
  <si>
    <t>Married New York congressman Rep. Christopher Lee, resigns over shirtless Craigslist pic</t>
  </si>
  <si>
    <t>NAACP CALLS MISSISSIPPI CANDIDATE HYDE-SMITH'S HANGING COMMENTS "SICK"</t>
  </si>
  <si>
    <t>Tribal Grant Is Being Questioned; Senator Who Had Dealings With Lobbyist Abramoff Pushed for Award - Correction Appended</t>
  </si>
  <si>
    <t>Breaking news: - David Rivera admitted having received a loan of $137,000 dollars from a company that belongs to his mother and which is linked to the Dog Track.</t>
  </si>
  <si>
    <t>Campaign vendors say Rep. David Rivera funded Democrat's failed primary bid</t>
  </si>
  <si>
    <t>Rep. Young calls farm workers "wetbacks"; says he meant no disrespect</t>
  </si>
  <si>
    <t>Rep. Hunter indictment sheds light on 'personal relationships' U-T WATCHDOG</t>
  </si>
  <si>
    <t>U.S. Rep. Ed Schrock announces retirement following allegations he is gay</t>
  </si>
  <si>
    <t>Detectives interview congressman seeking help in woman's disappearance</t>
  </si>
  <si>
    <t>BREAKING NEWS: Hakuna Macaca, Or, George Allen Puts Foot In Mouth And Sucks, Hard</t>
  </si>
  <si>
    <t>Va. Legislator Ends Bid for 3rd Term; Schrock Cites Unspecified Allegations Questioning His Ability to Serve</t>
  </si>
  <si>
    <t>Newspaper: Illinois congressman didn't report all Nicaragua investments</t>
  </si>
  <si>
    <t>Meeks not shy about gifts Enjoyed 6 Caribbean visits thanks to an accused con artist</t>
  </si>
  <si>
    <t>Qns. pol's hidden loans. Failed to disclose that he borrowed more than 50G</t>
  </si>
  <si>
    <t>Reid Land Deal Under Scrutiny; Senator Confers With Ethics Panel on Disclosure Requirements</t>
  </si>
  <si>
    <t>Reid to Amend Ethics Reports To Fully Account For Land Deal; Senate Minority Leader Also Will Repay Campaign</t>
  </si>
  <si>
    <t>NV: Reid, Heller, Others Donate Funds From Developer Under FBI Investigation</t>
  </si>
  <si>
    <t>Nevada's senators donating to charity contributions made by home-state developer</t>
  </si>
  <si>
    <t>Domenici, Wilson Said To Have Pressured US Attorney To Indict Democrat</t>
  </si>
  <si>
    <t>Lawmakers on the Line; Mr. Domenici and Ms. Wilson called a U.S. attorney, and Congress needs to investigate</t>
  </si>
  <si>
    <t>2 House Members Face Ethics Questions As Security Breach Reveals Other Names</t>
  </si>
  <si>
    <t>Feds eye Stevens' home remodel; GIRDWOOD: Veco approved some invoices for 2000 upgrade at senator's house, says builder.</t>
  </si>
  <si>
    <t>Steve King Says Civilization Can’t Be Restored With ‘Somebody Else’s Babies’</t>
  </si>
  <si>
    <t>Republican Rep. Steve King asks why white supremacy has 'become offensive,' sparking a new wave of condemnation</t>
  </si>
  <si>
    <t>Rep. Steve King: Immigrants Mostly 'Evil' Marijuana-Smugglers With 'Calves the Size of Cantaloupes'</t>
  </si>
  <si>
    <t>The Wonk Who Slays Washington; Congress is getting rich off Wall Street and Peter Schweizer won't stop until everyone</t>
  </si>
  <si>
    <t>Sheila Jackson Lee Leaves 2 Posts After Aide Says She Was Fired for Reporting Sexual Assault</t>
  </si>
  <si>
    <t>UNDER COVER: CONGRESSMAN'S FAVORS FOR FRIEND INCLUDE HELP IN SECRET BUDGET</t>
  </si>
  <si>
    <t>Jackson Revealed as "Number Five"; Governor's Wife Caught on Tape; Jet Crash Kills Entire Family; No Nukes vs. New Nukes</t>
  </si>
  <si>
    <t>Jesse Jackson Jr.: Is he in serious trouble?; A Chicago businessman has alleged that Rep. Jesse Jackson Jr. was involved in an illegal scheme to win the appointment to Barack Obama's former Senate seat. Jackson has denied the charges</t>
  </si>
  <si>
    <t>SIN-ATOR ADMITS TO TORRID AFFAIR. GOP RISING STAR LEARNS WHAT HAPPENS IN VEGAS DOESN'T STAY IN VEGAS</t>
  </si>
  <si>
    <t>Democrats Move Swiftly Against Conyers Amid Latest Harassment Charges</t>
  </si>
  <si>
    <t>AP Exclusive: Aides, documents indicate McCarthy misused staff, campaign funds</t>
  </si>
  <si>
    <t>#MeThree: California Democrat Rep. Katie Hill Reportedly Involved in 'Throuple' Relationship with Female Staffer</t>
  </si>
  <si>
    <t>Katie Hill, Rising Democratic Star in House, Denies Relationship With Staff Member</t>
  </si>
  <si>
    <t>Rep. Keith Ellison Responds to Domestic Violence Allegations: 'I Have Never Behaved This Way'</t>
  </si>
  <si>
    <t>A Broken Relationship and Accusations of Emotional Abuse: The Case of Keith Ellison</t>
  </si>
  <si>
    <t>Mark Souder: Would he have resigned if he were a Democrat?; Republican Rep. Mark Souder of Indiana announced Tuesday that he would resign as rumors of an affair surfaced. The congressman ran on a family-values platform, but political experts say party affiliation has little to do with who survives cheating scandals</t>
  </si>
  <si>
    <t>Democrat who groped his aide and asked her if she cheated on her boyfriend and Republican who failed to fire chief of staff for sexual harassment are sanctioned by Congress</t>
  </si>
  <si>
    <t>House Ethics Panel Releases Details of Charges Against 2 Republican Lawmakers</t>
  </si>
  <si>
    <t>A high-profile Trump ally in Congress just straight-up threatened Michael Cohen</t>
  </si>
  <si>
    <t>Dem campaign arm calls on congressman to resign following harassment allegation</t>
  </si>
  <si>
    <t>GOP Whip Quietly Tried to Aid Big Donor; Provision Was Meant To Help Philip Morris</t>
  </si>
  <si>
    <t>Women claim New Jersey senator paid them for sex at exclusive Dominican Republic resort</t>
  </si>
  <si>
    <t>Lawmaker Is Accused Of Assault At Dulles; Calif. Congressman Faces Charge in Baggage Dispute</t>
  </si>
  <si>
    <t>CREW Launches New Website -- WWW.JACKINTHEHOUSE.ORG -- DetailsSuperlobbyist Jack Abramoff's Web of Congressional Corruption</t>
  </si>
  <si>
    <t>Democrats to Use Newspaper Ads to Accuse 6 Republican Congressmen on Ethics Issues</t>
  </si>
  <si>
    <t>Prosecutors Say They Felt Pressured, Threatened; Hill Republicans, Justice Dept. Cited</t>
  </si>
  <si>
    <t>ARIZONA DEMOCRATIC PARTY: BUSH - HELPING REP. RENZI OR HURTING?</t>
  </si>
  <si>
    <t>AZ Dem. Raul Grijalva Used Taxpayer Dollars To Hide Drunk And Disorderly Conduct</t>
  </si>
  <si>
    <t>Former Staffer to Rep. Blake Farenthold Sues, Alleging Sexual Harassment</t>
  </si>
  <si>
    <t>Texas Rep. Blake Farenthold paid $84,000 in taxpayer money to settle a sexual harassment claim</t>
  </si>
  <si>
    <t>Lawmaker's home sale questioned; Cunningham defends deal with defense firm's owner - Correction Appended</t>
  </si>
  <si>
    <t>A Congressman Suggests ‘Dreamers’ Be Arrested. Capitol Hill Rolls Its Eyes.</t>
  </si>
  <si>
    <t>Republican axed from ethics body after report on alleged sexual misconduct; Congressman Patrick Meehan, of Pennsylvania, denies allegation he harassed female staffer but is ordered to pay back taxpayer funds used in settlement</t>
  </si>
  <si>
    <t>Michele Bachmann Refuses to Pay Iowa Presidential Staffers After 375 Days</t>
  </si>
  <si>
    <t>Statement of the Chairman and Ranking Member of the Committee on Ethics Regarding Delegate Michael F. Q. San Nicolas; House Ethics Committee News Release</t>
  </si>
  <si>
    <t>On Eve of Michael Cohen’s Testimony, Republican Threatens to Reveal Compromising Information</t>
  </si>
  <si>
    <t>Utility's documents lay out donations to Republicans meant to win law exemption</t>
  </si>
  <si>
    <t>Firm Saw Link in Favor, Donations; 4 Republicans Deny Aiding Utility for Contributions</t>
  </si>
  <si>
    <t>DELAY, INC. -- A Democracy 21 Report on House Majority Leader Tom DeLay and His Money Machine (2000-2002)</t>
  </si>
  <si>
    <t>Fundraising Focus Earns DeLay Wealth of Influence; PACs Widen Clout in Texas and Washington</t>
  </si>
  <si>
    <t>Democratic senator is a wife beater AND a liar: Delaware's Carper hit his first wife, denied it for years but finally came clean, book reveals</t>
  </si>
  <si>
    <t>TENNESSEE DEMOCRAT MEDIA FIRM UNDER FIRE IN EMERGING SCANDAL INVOLVING A CONGRESSMAN AND HIS MISTRESS</t>
  </si>
  <si>
    <t>Congessman Vance McAllister Caught Kissing Staffer (Not His Wife) On Video</t>
  </si>
  <si>
    <t>CREW Urges Ethics Committee Investigation and Congressional Member to File Complaint</t>
  </si>
  <si>
    <t>A third inquiry of House member VERN BUCHANAN: Ethics Committee is latest to launch an investigation</t>
  </si>
  <si>
    <t>Lawmaker-Contractor Deals Questioned; Congressman's Relationship With Defense Firm Chief Sparks Call for Ethics Probe</t>
  </si>
  <si>
    <t>JET-SET VITO FLYIN' ON CAMPAIGN CASH. Donors &amp; lobbyists fund fact-finding in fun places</t>
  </si>
  <si>
    <t>S.I. POL NABBED IN DWI. FOSSELLA APOLOGIZES FOR 'ERROR IN JUDGMENT' AFTER VA. BUST</t>
  </si>
  <si>
    <t>Mystery woman who sprung Vito. Ex-Air Force col. lives near bust site, is 'old' pal</t>
  </si>
  <si>
    <t>PA7: Weldon's Daughter Viewed As Example Of Family-Connected Lobbyists</t>
  </si>
  <si>
    <t>Rep. Janklow driving car that kills motorcyclist in South Dakota, troopers say</t>
  </si>
  <si>
    <t>The Associated Press International</t>
  </si>
  <si>
    <t>The Associated Press State &amp; Local</t>
  </si>
  <si>
    <t>The Associated Press Online</t>
  </si>
  <si>
    <t>Aaron w/s Schock AND expense</t>
  </si>
  <si>
    <t>Charles w/s Rangel AND ($500,000 OR disclose)</t>
  </si>
  <si>
    <t>Charles w/s Rangel AND rent</t>
  </si>
  <si>
    <t>Jerry w/s Lewis AND Cerberus</t>
  </si>
  <si>
    <t>David w/s Rivera AND Garcia AND Sternad</t>
  </si>
  <si>
    <t>House Ethics to Formally Investigate Andrews, Don Young</t>
  </si>
  <si>
    <t>Markwayne Mullin</t>
  </si>
  <si>
    <t>Pete w/s Sessions AND Countrywide</t>
  </si>
  <si>
    <t>Richard w/s Pombo AND wind w/s power (alternative parents)</t>
  </si>
  <si>
    <t>Richard w/s Pombo AND Abramoff</t>
  </si>
  <si>
    <t>Sam w/s Graves AND (ethics OR "private plane" OR "business partner")</t>
  </si>
  <si>
    <t>(Bill OR William) w/s Thomas AND (Pfizer OR "Deborah Steelman")</t>
  </si>
  <si>
    <t>Major news source</t>
  </si>
  <si>
    <t>Major news title</t>
  </si>
  <si>
    <t>The G.O.P.'s Diversity Deserts</t>
  </si>
  <si>
    <t>Break date source</t>
  </si>
  <si>
    <t>Break date title</t>
  </si>
  <si>
    <t>Political leaning</t>
  </si>
  <si>
    <t>Case summary</t>
  </si>
  <si>
    <t>Search term</t>
  </si>
  <si>
    <t>Louise w/2 Slaughter w/s (hospital Or fall OR injury OR concussion)</t>
  </si>
  <si>
    <t>N.Y. congresswoman hospitalized after falling at D.C. home</t>
  </si>
  <si>
    <t>Elijah w/2 Cummings w/s (cander OR disease OR diagnosed OR hospital)</t>
  </si>
  <si>
    <t>US Fed News</t>
  </si>
  <si>
    <t>REP. CUMMINGS UNDERGOES MEDICAL PROCEDURE</t>
  </si>
  <si>
    <t>Norman w/2 Sisisky w/s (cancer OR disease OR hospitalized OR hospital)</t>
  </si>
  <si>
    <t>Lung cancer</t>
  </si>
  <si>
    <t>The Bulletin's Frontrunnter</t>
  </si>
  <si>
    <t>VA4: Sisisky Undergoes Cancer Surgery, Expected To Make Full Recovery.</t>
  </si>
  <si>
    <t>Floyd w/2 Spence w/s (hospital OR brain OR surgery OR disease)</t>
  </si>
  <si>
    <t>Complications from brain surgery</t>
  </si>
  <si>
    <t>Representative Floyd Spence hospitalized for testing</t>
  </si>
  <si>
    <t>Julian w/2 Dixon AND (heart OR hospitalized OR hospital)</t>
  </si>
  <si>
    <t>Heart attack</t>
  </si>
  <si>
    <t>Associated Press Online</t>
  </si>
  <si>
    <t>California Rep. Julian Dixon Dies</t>
  </si>
  <si>
    <t>Died from a heart attack at 66 years old.</t>
  </si>
  <si>
    <t>Pneumonia</t>
  </si>
  <si>
    <t>Patsy w/3 Mink w/p (hospital OR hospitalized OR pneumonia OR chicken OR pox)</t>
  </si>
  <si>
    <t>Congresswoman Mink hospitalized with pneumonia</t>
  </si>
  <si>
    <t>(Bob OR Robert) w/2 Matsui w/p (hospital OR hospitalized OR pneumonia or disease OR syndrome OR preleukemia OR leukemia OR myelodysplastic OR cancer)</t>
  </si>
  <si>
    <t>Complications from bone marrow cancer</t>
  </si>
  <si>
    <t>(Charlie OR Charles) w/3 Norwood w/s (hospital OR hospitalized OR cancer OR disease)</t>
  </si>
  <si>
    <t>Democratic Rep. Bob Matsui Dies at 63</t>
  </si>
  <si>
    <t>Juanita w/2 Millender-McDonald w/p (cancer OR hospital OR hospitalized OR disease OR surgery)</t>
  </si>
  <si>
    <t>REP. MILLENDER-MCDONALD TAKES LEAVE OF ABSENCE</t>
  </si>
  <si>
    <t>Colon cancer</t>
  </si>
  <si>
    <t>Paul w/2 Gillmor w/p (hospital OR hospitalized OR dead OR disease)</t>
  </si>
  <si>
    <t>Head and neck injuries</t>
  </si>
  <si>
    <t>U.S. Rep. Gillmor from Ohio found dead in his apartment Wednesday</t>
  </si>
  <si>
    <t>"Jo Ann Davis" w/p (hospital OR hospitalized OR cancer OR disease)</t>
  </si>
  <si>
    <t>Daily Press (Newsport, Virginia)</t>
  </si>
  <si>
    <t>Jo Ann Davis again battling cancer</t>
  </si>
  <si>
    <t>Breast cancer</t>
  </si>
  <si>
    <t>Julia w/2 Carson w/p (cancer OR disease OR hospital OR hospitalized OR surgery)</t>
  </si>
  <si>
    <t>Indiana congresswoman hospitalized with leg infection</t>
  </si>
  <si>
    <t>(Tom OR Thomas) w/2 Lantos w/p (hospital OR hospitalized OR disease OR cancer)</t>
  </si>
  <si>
    <t>Esophagus cancer</t>
  </si>
  <si>
    <t>The Moderate Voice</t>
  </si>
  <si>
    <t>Tom Lantos Diagnosed With Cancer, Retiring</t>
  </si>
  <si>
    <t>On January 2, 2008, Lantos announced his retirement due to being diagnosed with esophagus cancer (at the age of 79). He passed away about a month later.</t>
  </si>
  <si>
    <t>Stephanie w/2 Jones w/p (cerebral OR hemprrhage OR aneurysm OR hospital OR hospitalized)</t>
  </si>
  <si>
    <t>Cerebral hemorrhage</t>
  </si>
  <si>
    <t>Ohio congresswoman Tubbs Jones hospitalized</t>
  </si>
  <si>
    <t>John w/2 Murtha w/p (hospital OR hospitalized OR gallbladder OR surgery)</t>
  </si>
  <si>
    <t>John Murtha hospitalized</t>
  </si>
  <si>
    <t>Complications from laparoscopic surgery</t>
  </si>
  <si>
    <t>Donald w/2 Payne w/p (cancer OR hospital OR hospitalized)</t>
  </si>
  <si>
    <t>NJ Rep. Payne says he has colon cancer</t>
  </si>
  <si>
    <t>Complications from an earlier back injury</t>
  </si>
  <si>
    <t>(Charles OR Bill) w/1 Young w/p (hospital OR hospitalized OR injury)</t>
  </si>
  <si>
    <t>Bill Young Retiring: Florida Republican Congressman Not Seeking Reelection In 2014</t>
  </si>
  <si>
    <t>(Patrick OR Alan) w/1 Nunnelee w/p (hospital OR hospitalized OR tumor OR cancer)</t>
  </si>
  <si>
    <t>Associated Press State &amp; Local</t>
  </si>
  <si>
    <t>GOP congressman Nunnelee hospitalized in his Miss. Hometown</t>
  </si>
  <si>
    <t>Paul w/2 Coverdell w/p (hospital OR hospitalized OR surger OR cerebral OR hemorrhage OR headache)</t>
  </si>
  <si>
    <t>Sen. Coverdell Has Brain Surgery</t>
  </si>
  <si>
    <t>Air plane crash</t>
  </si>
  <si>
    <t>Paul w/2 Wellstone w/s (died OR crash)</t>
  </si>
  <si>
    <t>CNN CNN INSIDE POLITICS 16:00</t>
  </si>
  <si>
    <t>Senator Paul Wellstone Killed in Plane Crash</t>
  </si>
  <si>
    <t>Craig w/2 Thomas w/p (pneumonia OR leukemia OR chemotherapy OR hospital OR hospitalized)</t>
  </si>
  <si>
    <t>Leukemia</t>
  </si>
  <si>
    <t>Wyo. Sen. Craig Thomas begins leukemia treatment</t>
  </si>
  <si>
    <t>(Edward OR Ted) w/2 Kennedy w/s (cancer OR tumor)</t>
  </si>
  <si>
    <t>CNN CNN NEWSROOM 2:00 PM EST</t>
  </si>
  <si>
    <t>Senator Edward Kennedy Diagnosed With Malignant Brain Tumor</t>
  </si>
  <si>
    <t>Malignant glioma</t>
  </si>
  <si>
    <t>Robert w/2 Byrd w/s (hospital OR hospitalized)</t>
  </si>
  <si>
    <t>Sen. Robert Byrd, 90, admitted to hospital</t>
  </si>
  <si>
    <t>Daniel w/2 Inouye w/s (hospital OR hospitalized OR oxygen OR wheelchair)</t>
  </si>
  <si>
    <t>Respiratory complications</t>
  </si>
  <si>
    <t xml:space="preserve"> SENATOR INOUYE RELEASED FROM HOSPITAL; Sen. Daniel K. Inouye (D-HI) News Release</t>
  </si>
  <si>
    <t>John w/2 McCain w/s (cancer OR hospitalized)</t>
  </si>
  <si>
    <t>Explained: John McCain's skull surgery - and why his blood clot could have caused him to act so bizarrely in the Comey hearing</t>
  </si>
  <si>
    <t>Bruce w/2 Vento w/p (cancer OR hospitalized OR mesothelioma OR hospital)</t>
  </si>
  <si>
    <t>Vento won't seek re-election due to lung cancer</t>
  </si>
  <si>
    <t>(John OR Joe) w/2 Moakley w/p (myelodysplastic OR cancer OR hospitalized OR hospital)</t>
  </si>
  <si>
    <t>Rep. Joe Moakley Has Cancer</t>
  </si>
  <si>
    <t>(Kyle OR Mark) w/1 Takai w/p (cancer OR hospital OR hospitalized OR tumor OR pancreas)</t>
  </si>
  <si>
    <t>CONGRESSMAN TAKAI RELEASES STATEMENT ON PERSONAL HEALTH; Rep. Mark Takai (D-HI) News Release</t>
  </si>
  <si>
    <t>Pancreatic cancer</t>
  </si>
  <si>
    <t>Walter w/2 Jones w/s (illness OR hip OR hospital OR hospitalized)</t>
  </si>
  <si>
    <t>North Carolina congressman out for rest of term with illness</t>
  </si>
  <si>
    <t>Unspecified illness</t>
  </si>
  <si>
    <t>(Herbert OR Herb) w/2 Bateman w/s (retire OR retirement OR death OR died OR hospital OR hospitalized)</t>
  </si>
  <si>
    <t>Richmond Times Dispatch (Virginia)</t>
  </si>
  <si>
    <t>BATEMAN UNDERGOES CAROTID SURGERY</t>
  </si>
  <si>
    <t xml:space="preserve"> Frank w/2 Lautenberg w/p (pneumonia OR hospital OR hospitalized OR cancer OR diagnosed)</t>
  </si>
  <si>
    <t xml:space="preserve"> Lautenberg hospitalized after fall</t>
  </si>
  <si>
    <t>Weekday first news</t>
  </si>
  <si>
    <t>Concussion following home accident</t>
  </si>
  <si>
    <t>On November 6, 2005, it was revealed that Charlie Norwood had surgery to remove a small malignant tumor from his lung and that Norwood would have to undergo chemotherapy. He was reelected on November 7, 2006. On December 5, 2006, it was announced that Norwood would again receive cancer treatment. Norwood passed away in 2007 after his cancer spread at the age of 65. In 1998, Norwood was diagnosed with pulmonary fibrosis and received a lung transplant in 2004. He was reelected after receiving the transplant.</t>
  </si>
  <si>
    <t>Norwood resumes cancer treatment</t>
  </si>
  <si>
    <t>Burns allegedly exchanged favors for contributions. He received large sums in campaign contributions from scandal lobbyist Jack Abramoff and his client. On January 4, 2008, The Washington Post reported that the FBI closed its investigation against Burns and that there were no resulting criminal charges.</t>
  </si>
  <si>
    <t>Allegation</t>
  </si>
  <si>
    <t xml:space="preserve">Baucus got under scrutiny because he recommended his girlfriend to a top federal position. Newspapers reported that he put his needs above those of his voters. He submitted the name of his girlfriend (and two other candidates) at a moment in time when it was unknown that they had a relationship. The chairman of the Republican National Committee called for an ethical inquiry. Baucus answered that his girlfriend merited the nomination, but that she resigned from the competition when things got more serious between them. </t>
  </si>
  <si>
    <t>Radel was charged with misdemeanor cocaine possession. He pled guilty and was sentenced to one-year probation.</t>
  </si>
  <si>
    <t>Wu had had unwanted sexual contact with the teenage daughter of a long-term friend and campaign donor. This got out after the girl left a voicemail with Wu's congressional office stating that Wu had sexually harassed her. Wu announced his resignation on June 27, 2011. He resigned on August 3, 2011.</t>
  </si>
  <si>
    <t xml:space="preserve">Rodgers financed campaign activities and staff salaries (including the fee of an external consultant) with congressional funds. Rodgers was later ordered to reimburse the House $7,575.95. </t>
  </si>
  <si>
    <t>In February 2012, Payne announced that he would undergo treatment for colon cancer with the expectation of a full recovery. On March 2, information leaked that Payne was very ill. He passed away on March 6.</t>
  </si>
  <si>
    <t>Wellstone was killed on October 25 in a plane crash.</t>
  </si>
  <si>
    <t>Resignation (17/03/2015) and indictment (10/11/2016).</t>
  </si>
  <si>
    <t>Pre-event visibility</t>
  </si>
  <si>
    <t>Post-event visibility</t>
  </si>
  <si>
    <t>Racist remarks</t>
  </si>
  <si>
    <t>Racist and homophobic remarks</t>
  </si>
  <si>
    <t>Resigned or convicted</t>
  </si>
  <si>
    <t>Cause of death</t>
  </si>
  <si>
    <t>Retired</t>
  </si>
  <si>
    <t>First disease revelation</t>
  </si>
  <si>
    <t>Closing books</t>
  </si>
  <si>
    <t>Start quarter</t>
  </si>
  <si>
    <t>Quarter name</t>
  </si>
  <si>
    <t>Quarter</t>
  </si>
  <si>
    <t>Filing deadline</t>
  </si>
  <si>
    <t xml:space="preserve">Gay activist Michael Rogers claimed on his website that Schrock was secretly gay. Rogers claimed that he had recordings of Schrock soliciting liaisons with other men through telephone services. The main accusation of the activist towards Schrock was hypocrisy, as Schrock used to oppose gay rights. </t>
  </si>
  <si>
    <t xml:space="preserve">Traficant announced that he received subpoenas in December 1999 requiring him to hand over office records. He also announced that he expected an indictment. Later charges and a prison sentence included taking bribes (campaign funds for private use), racketeering, and tax evasion. </t>
  </si>
  <si>
    <t>Thomas had an affair with Pfizer lobbyist Deborah Steelman, who also helped to steer significant campaign contributions to Thomas.</t>
  </si>
  <si>
    <t>When his former intern Chandra Levy went missing on May 1, 2001, scrutiny was placed on the connection between Condit and Levy because Levy had told a friend about a secret relationship involving someone at Congress. A month after the break date, Levy’s mother admitted that her daughter had a sexual relationship with the Congressman. While Condit was not charged or associated with Levy's disappearance and later murder, the bad publicity for having an affair while being married may have cost him his political office. He lost his re-election bid in 2002.</t>
  </si>
  <si>
    <t>Mollohan allegedly channeled earmarks to organizations in exchange for campaign donations. Investigations were closed in January 2010 without charges.</t>
  </si>
  <si>
    <t>Reid violated campaign finance law by using $3,300 of his campaign funds to pay Christmas bonuses for the staff members of the Ritz-Carlton hotel he lived in. Reid said that the staff carried the burden of extra work because of his political activities (dealing with visitors and political events), which would justify the use of campaign funds, but also promised to reimburse the money.</t>
  </si>
  <si>
    <t xml:space="preserve">Fossella was caught driving under the influence of alcohol. He was arrested and given a court date (May 12, 2008). He publicly apologized. </t>
  </si>
  <si>
    <t xml:space="preserve">Rangel helped to provide a tax loophole for the oil drilling company Nabor Industries, which enabled Nabor Industries to save millions of dollars. In return, Nabor Industries promised to donate $1,000,000 to a City College bearing Rangel’s name. They also made a $100,000 donation to the Rangel Center of Public Service. </t>
  </si>
  <si>
    <t>Towns was accused of getting sweetheart loans from Countrywide Financial. Before it became known that Towns had two home loans from Countrywide Financial, he turned down Darrell Issa’s request to subpoena records of the loan program. When the subpoenas were eventually submitted, Towns had allegedly altered them to exclude evidence on members of Congress.</t>
  </si>
  <si>
    <t>Tiahrt was investigated for a possible quid pro quo relationship with the PMA Group. He was cleared later.</t>
  </si>
  <si>
    <t>Stearns allegedly attempted to bribe opponent James Jett with cash and job offers to withdraw from the primary Republican race. A spokesperson of Stearns said the allegations were unfounded and slanderous. The FBI did not comment on whether an investigation was underway.</t>
  </si>
  <si>
    <t>30 Freshman Republicans went on a foreign policy mission to Israel. During the trip, six of them took a swim in the Sea of Galilee. Allegedly, alcohol was involved. Southerland was one of them.</t>
  </si>
  <si>
    <t>30 Freshman Republicans went on a foreign policy mission to Israel. During the trip, six of them took a swim in the Sea of Galilee. Allegedly, alcohol was involved. Grimm was one of them.</t>
  </si>
  <si>
    <t>30 Freshman Republicans went on a foreign policy mission to Israel. During the trip, six of them took a swim in the Sea of Galilee. Allegedly, alcohol was involved. Denham was one of them.</t>
  </si>
  <si>
    <t>Emails were leaked in which party officials (including Deborah Wasserman Schultz) conspired to undermine Bernie Sanders' presidential bid in support of Hillary Clinton. Wasserman Schultz subsequently resigned as Democratic National Committee chairwoman.</t>
  </si>
  <si>
    <t>Several women accused Al Franken of having touched them inappropriately.</t>
  </si>
  <si>
    <t xml:space="preserve">Esty’s chief of staff, Tony Baker, was accused of sexual harassment and threats of violence. Despite letting him go, Baker remained on the payroll for three months and received a positive reference letter from Esty. The Congresswoman received criticism for mishandling the sexual harassment and violence allegations. She publicly apologized for failing to protect her female employees and announced her retirement. </t>
  </si>
  <si>
    <t>Two incidents were brought up during O'Rourke's Senate election campaign: a car accident that happened while O’Rourke drove under the influence and an arrest for burglary (forcefully trying to enter a Campus building). A mugshot of O’Rourke was published on Twitter. Note that the case was known before it became a scandal. In January 2018, the Texas Monthly wrote about O'Rourke, saying the arrest was used against him on a different occasion.</t>
  </si>
  <si>
    <t>When the Texas sodomy law was under review by the Supreme Court, Rick Santorum criticized changes to the law, comparing homosexuality to incest. When gay rights leaders called to remove Santorum from his Senate leadership, Santorum stood by his remarks and said that homosexuality is unnatural and that his comments were the law of the land.</t>
  </si>
  <si>
    <t xml:space="preserve">Lott said at Storm Thurmond's 100th birthday party that the US would have been better if Thurmond had become president in 1948. By that time, Thurmond was a convinced segregationist. Lott later apologized for his ‘poor choice of words’. </t>
  </si>
  <si>
    <t xml:space="preserve">During his campaign rally, Allen repeatedly called a volunteer of his opponent, James Webb, by the word "macaca". Macaca, which is a type of monkey, is used as a racial slur to belittle African immigrants. </t>
  </si>
  <si>
    <t xml:space="preserve">Harris made controversial statements during an interview with a religious newspaper. She said, "If you're not electing Christians, then in essence you are going to legislate sin" (The Washington Post, August 26, 2006). She further named homosexual marriage and abortion sins. </t>
  </si>
  <si>
    <t xml:space="preserve">Goode sent a letter to hundreds of voters to warn them that "the recent election of the first Muslim to Congress posed a serious threat to the nation's traditional values" (New York Times December 21, 2006). He also opposed Keith Ellison's plan to use the Koran instead of the Bible to be sworn in. Democrats and Muslim Americans subsequently accused Goode of bigotry and intolerance. </t>
  </si>
  <si>
    <t>Starting in 1970, Ron Paul allegedly wrote newsletters including anti-gay and racist language. The scandal first emerged in 1996 and was picked up again during Paul's 2008 and 2012 presidential bids. These newsletters, for example, stated that 95% of black males in Washington DC were semi- or entirely criminal. Paul claimed that he did not write the newsletters, despite his name being on them. He eventually withdrew his presidential bid in June 2008. On December 29, 2011, the Christian Science Monitor published a timeline of the events, including the statements Paul made when confronted with the newsletters over the years ("'Racist newsletter' timeline: What Ron Paul has said; Ron Paul has had to explain racially charged statements and other controversial comments in newsletters published in his name in the 1980s and 1990s. Here's what he's said over the years.").</t>
  </si>
  <si>
    <t xml:space="preserve">News got out that Reid said during an interview that Barack Obama had good chances to become president because he was a "light-skinned" African-American who lacked a "Negro dialect, unless he wanted to have one," (Politico.com, January 9, 2010, "Reid apologizes for 'Negro' remark"). Reid, a known Obama supporter, apologized publicly for his choice of words. </t>
  </si>
  <si>
    <t>Young used a racial expression to describe workers with Mexican backgrounds who used to collect tomatoes on his father’s farm. He later apologized for the "poor choice of words" (e.g., Politico.com, March 29, 2013).</t>
  </si>
  <si>
    <r>
      <t>Around a hearing on whether illegal immigrants should be allowed to stay in the US if they were brought to the US as children (DREAM Act), King made the following comment: "For every one who's a valedictorian, there's another 100 out there that - they weigh 130 pounds and they've got calves the size of cantaloupes because they're hauling 75 pounds of marijuana across the desert" (Mediaite, July 23, 2013, "Rep. Steve King: Immigrants Mostly 'Evil' Marijuana-Smugglers With 'Calves the Size of Cantalou</t>
    </r>
    <r>
      <rPr>
        <sz val="11"/>
        <color theme="1"/>
        <rFont val="Calibri"/>
        <family val="2"/>
      </rPr>
      <t>pes'"</t>
    </r>
    <r>
      <rPr>
        <sz val="11"/>
        <rFont val="Calibri"/>
        <family val="2"/>
      </rPr>
      <t>). Following the comments, students started bringing melons to King's office.</t>
    </r>
  </si>
  <si>
    <t xml:space="preserve">On March 12, 2017, King retweeted a story about Dutch right-winger Geert Wilders and added, "Wilders understands that culture and demographics are our destiny. We can't restore our civilization with somebody else's babies" (PR Newswire, March 12, 2017, "CAIR Calls on GOP to Repudiate Iowa Rep. Steve King's 'Racist' Tweet"). David Duke, a white nationalist and known former KKK member, praised King for this tweet. </t>
  </si>
  <si>
    <t>When democratic politicians planned to organize an event for DREAMers (undocumented immigrants who were brought as minors to the US and, according to the DREAM Act, would be granted conditional residency), Gosar placed a tweet asking Capitol Police and Attorney General Jeff Sessions to verify the documents of each attending individual and arrest any "illegal alien".</t>
  </si>
  <si>
    <t>During her campaign, Hyde-Smith publicly said that she would attend a public hanging if one of her supporters (a cattle rancher from Mississippi) invited her. Hyde-Smith came under fire, as lynching of African Americans was not uncommon in the state’s history. She answered that she used an exaggerated expression and that the public response was ridiculous.</t>
  </si>
  <si>
    <t>In an interview with the New York Times King said, "'White nationalist, white supremacist, Western civilization -- how did that language become offensive?'' (The New York Times, January 11, 2019, "A Bullhorn of Anti-Immigrant Rhetoric, Long Before Trump Started"). He further explained that he was not an advocate for white nationalism or supremacy, but a nationalist defending western values. King was subsequently removed from the Judiciary, Agriculture, and Small Business Committees.</t>
  </si>
  <si>
    <t xml:space="preserve">Kanjorski allegedly steered government contracts and grants worth several million dollars into the companies of his nephews and daughters. Kanjorski denied wrongdoing but acknowledged the FBI was investigating the case. </t>
  </si>
  <si>
    <t>McCarthy drunkenly fell down an escalator and had to be taken to a hospital, where she received multiple stitches to her face. She publicly apologized for the incident. Press reports said McCarthy would seek treatment for alcohol abuse.</t>
  </si>
  <si>
    <t>Blunt drew attention due to strong political family ties: At the time, his wife was a lobbyist for Altria Group (the parent company of Philip Morris), one son was a lobbyist for a law firm with clients such as Altria, and another was the governor of Missouri. The politician and his family stated that they all took measures to avoid a conflict of interest, i.e., turning down clients who wanted to lobby Blunt and his (governor) son.</t>
  </si>
  <si>
    <t xml:space="preserve">DeLay and his political aides created PAC committee(s) with the purpose of giving Republicans control over the state house. Between 2000 and 2002, DeLay was able to raise $12.6 million, which he, in part, forwarded to various Texas politicians. This is illegal according to Texas election rules as state house members are not allowed to receive corporate contributions for election purposes. DeLay further invested in political research and paid other expenses for the candidates. Moreover, news got out that DeLay did not properly disclose the funds and allegedly accepted illegal contributions from firms. He received $350,000 from energy companies while overseeing the draft of an energy bill. On September 21, 2004, three of DeLay's allies were indicted on charges of money laundering and accepting illegal campaign donations. Several companies were indicted with them: Sears, Roebuck and Co., Bacardi USA, Cracker Barrel, Diversified Collection Services, Questerra Corp., Williams Companies, Westar Energy, and the Alliance for Quality Nursing Home Care. Together, these firms donated about $320,000. </t>
  </si>
  <si>
    <t>The news reported that Westar executives attempted to influence members of Congress through campaign donations. Evidence was found in email exchanges. DeLay was drawn into this because he attended a two-day get-together with Westar and later backed a provision for Westar. Despite public attention, DeLay’s PAC committee refused to redistribute Westar contributions.</t>
  </si>
  <si>
    <t>On August 16, 2003, Bill Janklow got into a car-motorcycle accident that killed the motorcycle rider. He drove about 10 mph too fast and had run over a stop sign. Janklow later stated that he had taken insulin that day while eating very little. This likely caused hypoglycemia and left him confused and disoriented.</t>
  </si>
  <si>
    <t>LaTourette's ex-wife spoke to a news outlet about her divorce and simultaneously mentioned that LaTourette had an affair with a lobbyist.</t>
  </si>
  <si>
    <t>Ex-aides made allegations that McCarthy paid for personal trips with campaign money and used government workers for her own benefits, e.g., for going grocery shopping or picking her up from private meetings. The most discussed example was that McCarthy used campaign money to attend the Grammy Awards.</t>
  </si>
  <si>
    <t>In April 2004, the House Ethics Committee started an informal probe into whether Weldon helped his daughter Karen Weldon get clients for her consulting company Solutions North America Inc. Two Russian companies and a Serbian foundation received Weldon's political support and were later identified to have signed substantial contracts with his daughter's company. Weldon had lobbied federal offices on their behalf. On October 16, 2006, FBI agents conducted raids at six places connected to the case. Weldon was never charged but lost the 2008 re-election.</t>
  </si>
  <si>
    <t>Candice Miller and Tom DeLay were admonished for trying to influence another Republican to change his vote on a health care bill. Miller and DeLay allegedly promised Nick Smith the support of his son's political career (or, in case Smith did not comply, threatened to interfere with his son's political career).</t>
  </si>
  <si>
    <t>Candice Miller and Tom DeLay were admonished for trying to influence another Republican to change his vote on a health care bill. Miller and DeLay allegedly promised Nick Smith the support of his son's political career (or, in case Smith did not comply, threatened to interfere with the son's political career).</t>
  </si>
  <si>
    <t>The Oregonian reported in 2004 about David Wu trying to force his former girlfriend into having sex. This happened in the 1970s, and as a result, Wu was disciplined by Stanford University. Wu admitted the incident and publicly apologized.</t>
  </si>
  <si>
    <t>Ney exchanged favors for campaign contributions, luxurious gifts, and vacations. During a testimony on November 17, 2004, a tribal representative stated that Jack Abramoff promised tribal officials the support of Christopher Dodd and Robert Ney. Around the same time, newspapers revealed that Ney went on expensive trips with Abramoff to Scottland and Moscow. Later on, Ney’s former Chief of Staff pled guilty to bribing public officials, including Ney. Ney resigned as chairman of the House Administration Committee on January 15, 2006. On May 18, 2006, the House Ethics Committee announced an investigation into the bribery allegations. Ney officially pleaded guilty October 13, 2006, and resigned on November 11, 2006.</t>
  </si>
  <si>
    <t>Pombo was criticized for having his wife and brother on the payroll. He paid them more than $200,000 over the course of two years.</t>
  </si>
  <si>
    <t xml:space="preserve">Allegations that Feeney was involved with the development of software that could be used for election fraud. The St. Petersburg Times (Florida) was the only newspaper reporting about these allegations.  </t>
  </si>
  <si>
    <t>Hayworth Jr. was tied to the Abramoff lobbyist scandal. One way of raising funds is to lease luxury sports boxes and invite supporters to enjoy their favorite teams. A number of politicians used such sport boxes that were paid with the money of Indian gaming tribes. Congressional rules require politicians to report such perks as gifts to the Federal Election Committee. Hayworth used Abramoff’s sports boxes and hosted four fundraising events. However, he did not pay for their usage and also did not report them as gifts. Hayworth's office attempted to correct the mistake after the media questioned his failure to disclose the skyboxes. In amended reports, Hayworth reimbursed two Abramoff clients with $12,880. Hayworth's office said they were unaware the boxes came from a lobbyist. They also admitted that the value should have been reported.</t>
  </si>
  <si>
    <t>DeLay was involved in the Abramoff lobbying scandal. Abramoff exchanged political favors for money or expensive trips with several politicians, including Tom DeLay. Tom DeLay accompanied Abramoff on a golf trip to Scotland in 2000 and on a trip to London. Officially, the trip was paid for by the non-profit organization The National Center for Public Policy Research but reimbursed by Abramoff. According to House rules, members are not allowed to accept travel expenses from lobbyists, and they are also responsible for inquiring about the source of the funds in case a Non-Profit covers the expenses. DeLay also used Abramoff’s skyboxes for fundraiser events. A cash-for-trade example is the provision on tax gambling revenue on Indian land. DeLay killed the provision and received $6,000 from the Choctaw Indian tribe. Moreover, DeLay’s wife, Christine DeLay, was on the payroll of the Alexander Strategy Group (ASG), earning a monthly salary of around $3,000 on average. ASG, in turn, was a lobbying firm Abramoff used to refer his clients to. DeLay temporarily resigned as House Republican leader on September 29, 2005. He resigned from Congress on April 5, 2006, effective in June.</t>
  </si>
  <si>
    <t>Feeney got under scrutiny because of his ties to scandal lobbyist Abramoff. He violated house rules by going on a trip with foreign officials to South Korea and on a golf trip to Scotland with Abramoff in 2003. Feeney stated that he believed the $5,643 for the trip was paid by the National Center for Public Policy Research. He claimed that he was not aware a lobbyist paid for the trip. Despite giving up the campaign funds, the House Ethics Committee ruled that Feeney violated house rules and commanded him to reimburse the US Treasury for the trip expenses. The Department of Justice dropped its investigation in 2009 (after a failed 2008 reelection attempt).</t>
  </si>
  <si>
    <t xml:space="preserve">Pombo opposed environmental guidelines opposing wind power. This was discussed as a conflict of interest because his family owned a 300-acre wind-powered turbine ranch, generating a substantial income. Pombo himself had a stake in this farm that he did not disclose when opposing the environmental guidelines. </t>
  </si>
  <si>
    <t>Pombo was scrutinized for his close ties to the corrupt lobbyist Jack Abramoff. The first report about Pombo receiving campaign contributions from Indian tribes was published on June 21, 2004, in The Associated Press. CREW published a report on April 14, 2005. The accusations increased gradually.</t>
  </si>
  <si>
    <t xml:space="preserve">Sherwood had a long-term affair with Cynthia Ore. This got out when Ore locked herself in Sherwood's apartment, called the police, and accused him of assault. Ore filed a lawsuit, which was settled with a payment from Sherwood to Ore. </t>
  </si>
  <si>
    <t xml:space="preserve">Cunningham sold his home to military contractor Mitchell J. Wade in 2003 for $1.6 million. The contractor sold the property later for $975,000, making a loss of $625,000. Cunningham was a member of the defense appropriations subcommittee and allegedly helped the military contractor earn millions via government contracts. He was subpoenaed on June 29, 2005. </t>
  </si>
  <si>
    <t>Goode Jr. was linked to defense contractor MZM, which was implicated in a bribery scandal involving Randy Cunningham. Goode received campaign contributions from MZM and its employees, totaling $48,551. The donations were scrutinized because Goode sponsored a provision in 2003 that enabled the construction of a military center in his district. MZM was hired to run the center. Moreover, Goode promoted giving the contract to MZM. Goode said he only did this to support employment in his home district and promised to give all donations from MZM to charity. MZM admitted making illegal contributions, but Goode was not held liable, as prosecutors concluded that he was not aware of the funds being illegal. Wade (the defense contract) admitted contributing in the hopes of getting earmarks from Goode (and from Katherine Harris, who faced the same allegations).</t>
  </si>
  <si>
    <t xml:space="preserve">Mitchell Wade, founder of MZM Inc., influenced and reimbursed his employees to donate more than $30,000 to Harris' election campaign in 2005 and 2006. This violates election campaign rules. Wade pled guilty. Beginning in 2006, allegations broadened. News outlets reported that Harris would help MZM receive earmarks and that Harris had sent a letter in 2005 to the defense appropriations subcommittee asking for $10,000 that benefited a project backed by MZM Inc. Harris did not resign and was never charged, but did not win her Senate election campaign following the scandal. </t>
  </si>
  <si>
    <t xml:space="preserve">Jefferson's homes were raided by the FBI on August 3, 2005. In the beginning, it was only known that the FBI had announced they were looking into allegations of corruption. On May 3, 2008, it became known that Jefferson traded political favors with an African company. The case quickly became famous as the FBI found $90,000 hidden in a freezer. Jefferson was charged with 11 cases of corruption and sentenced to 13 years imprisonment on November 13, 2009. </t>
  </si>
  <si>
    <t xml:space="preserve">Frist was accused of insider trading. He sold shares from his family’s hospital company just before the price of the company's shares fell rapidly. The SEC investigated the case but dropped the charges. </t>
  </si>
  <si>
    <t xml:space="preserve">Extension of the Abramoff scandal: In October 2005, news got out that Ney traded favors with Foxcom via Abramoff. Foxcom was hired in 2002 to provide antenna services to the House, a deal worth $3 million. Foxcom was linked to Abramoff via lobbying expenses of more than $280,000. A spokesperson for Ney claimed that the choice of Foxcom was based on the preferences of the wireless providers; however, all wireless providers answered that they did not indicate preferences. </t>
  </si>
  <si>
    <t>Doolittle received luxury gifts from scandal lobbyist Abramoff and was investigated because of this. His wife had been subpoenaed in the Abramoff investigation earlier. The scandal continued, including a home raid in 2007. The raid took place on April 13, 2007, and became public news on April 18, 2007. The case against Doolittle was eventually closed. Note that Doolittle was already linked to Abramoff in 2004 because of fundraising events. Watchdog groups called for investigations about politicians receiving improper gifts. Doolittle acknowledged in November 2005 that his wife was subpoenaed. The break date is the date it became known that Doolittle himself was being investigated.</t>
  </si>
  <si>
    <t>Lewis directed projects worth hundreds of millions of dollars to lobbyist Bill Lowery, who in turn provided Lewis with approximately $400,000 in PAC donations. The case became public knowledge when the SEC started an investigation against Lewis. Even though the scandal increased in publicity over time, Lewis was never charged. Note that the relationship between Lewis and Lowry was first scrutinized in December 2005, when news got out that Lewis and Lowery exchanged earmarks. This was not unusual at the time.</t>
  </si>
  <si>
    <t>Allegations of corruption against Lewis: The Campaign for a Cleaner Congress asked the Justice Department for an inquiry into PAC contributions from Cerberus Capital Management. Lewis allegedly raised $133,000 in exchange for support for a defense spending bill.</t>
  </si>
  <si>
    <t>Ex-aids Deanna Maher and Sydney Rooks alleged that John Conyers forced his staff to do campaign work and that he used them to chauffeur and babysit his children while they were on government time. This is a violation of House ethics rules. Conyers confessed to violating the rules, and the case was dropped.</t>
  </si>
  <si>
    <t>Patrick Kennedy crashed his car into a security barrier after speeding through a construction zone. In a police report, an officer noted that Kennedy's eyes were watery, his speech was not clear, and his balance was unsure. The report also mentioned alcohol involvement. Kennedy's office issued a statement explaining that Kennedy had been on prescription drugs. Kennedy admitted shortly after that he was addicted to prescription medicine and that he would (re)admit himself into a treatment facility. He pled guilty to driving under the influence of prescription drugs on July 13, 2006, had to pay a fine, and was sentenced to one-year probation. In 2009, Kennedy entered another rehabilitation facility.</t>
  </si>
  <si>
    <t>Calvert allegedly used earmarks to double the value of his properties. In 2004, he already owned eight parcels of land in Riverside Country. In 2005, he and the vice president of his real estate firm bought another parcel. In the following year, Calvert secured $9.5 million in federal funds to build a freeway interchange and to support commercial development close to his recent purchase. He managed to sell the property for close to $1 million. Another property owned by his business partner increased similarly in value. Calvert claimed that he had answered requests from local entities that his home district needed these funds.</t>
  </si>
  <si>
    <t>Taylor faced corruption allegations because he had a strong financial interest in a Russian Bank and a Russian investment company. According to local newspapers, he held more than $50 million in stock (having over 80% ownership) and was the founder of the investment company. He also used earmarks to fly in students from Russia who presumably worked for him. Taylor was never subject to an official investigation. The first allegations were made during his 2005 election campaign. At the end of September 2005, Taylor was named in CREW's Most Corrupt Members of Congress report. The topic resurfaced in June 2006 when Taylor disclosed his stock holdings of over $50 million in a Russian bank and investment company. On June 28, CREW released a House ethics complaint.</t>
  </si>
  <si>
    <t xml:space="preserve">On June 26, 2006, news outlets reported that Fossella used a significant amount of his campaign funds to finance luxury vacations, other entertainment events, and personal items. Fossella did not disclose the nature of the trips or where the money came from. The Democratic Party called on the FEC and the Justice Department to investigate the allegations. </t>
  </si>
  <si>
    <t>Miller pushed for a provision that would help Lewis Operating Corp. (one of Miller's top campaign contributors) buy land from the city of Rialto, California, and plan a living community there. Shortly after, Lewis took a $7.5 million loan from the company and bought real estate (a seller-financed purchase), just to sell some of the land back to the company and to a city in California. This way, Miller made an estimated profit of $1.1 to $6 million. Note that there were two more allegations: One about the connection published on January 9, 2006, mentioning that Lewis helped the company, and another on March 30, 2006, reporting that Lewis exchanged favors by arranging a provision that an airport would be shut down to develop a community. Lewis Operating Corp. received the multimillion-dollar contract.</t>
  </si>
  <si>
    <t>Miller avoided paying millions of dollars in taxes on a land sale by claiming that he was forced by government agencies to sell the land. Video evidence proved this claim to be incorrect, as Miller was allegedly shown ‘begging’ authorities to buy the land from him.</t>
  </si>
  <si>
    <t>Foley exchanged inappropriate emails with an underage boy, who forwarded the emails to a congressional staff member. Foley resigned.</t>
  </si>
  <si>
    <t xml:space="preserve">Renzi allegedly channeled benefits to military contractor ManTech International Corporation, which employed his father as executive vice president. Renzi sponsored legislation that was beneficial for the company. </t>
  </si>
  <si>
    <t>Reid did not disclose a real estate transaction that helped him make a $700,000 profit. In addition to incorrect disclosure, news got out that he first sold the property to Jay Brown, a lawyer whose name was frequently connected to organized crime, casinos, and political bribery. Reid bought the property for $400,000, then sold it to Brown's company, in which he had a financial stake, for the same price. Three years later, Brown sold the property to developers for $1.1 million. The Washington Post claimed that the case was not only about making a profit, but about disclosure being a form of revealing business ties to the public that Reid had deliberately kept hidden.</t>
  </si>
  <si>
    <t xml:space="preserve">A casino cocktail waitress accused Gibbons of sexual harassment in a parking garage outside a restaurant. The woman reported the story to the police on the night of the alleged incident. A day later, she dismissed it as a misunderstanding and said she was intoxicated at the time of her initial report. On October 19, 2006, the case was picked up again when the woman claimed that she was offered money to deny the incident. </t>
  </si>
  <si>
    <t>Despite his strong opinion against immigration, Gibbons hired an illegal immigrant as a babysitter between 1987 and 1993. He was accused of hypocrisy and of hiding the babysitter in the basement when receiving visitors.</t>
  </si>
  <si>
    <t>Renzi engineered a land swap to aid a business associate and received money in return. Renzi’s wife's business was raided on April 19, 2007, and Renzi was charged with 35 counts of fraud, conspiracy, and money laundering on February 22, 2008. The news reports about the scandal escalated in April 2007, despite the fact that the land had already been recognized as improper in 2006. Renzi was convicted on 17 counts and sentenced to three years in prison on October 28, 2013.</t>
  </si>
  <si>
    <t>In late 2006, a police report was leaked stating that Gaia Sweeney called the police in December 2005, claiming that her husband was violent towards her. John and Gaia Sweeney gave the NY state police permission to release the incident report but claimed it was false. In the summer of 2007, Gaia Sweeney contested a divorce. She then claimed that the earlier statement denying home violence was coerced and that her husband was repeatedly verbally and physically abusive towards her.</t>
  </si>
  <si>
    <t>Reid helped secure $18 million to build a bridge that would benefit the value of his property nearby. The bridge should span over the Colorado River between Laughlin, Nevada, and Bullhead City, Arizona, where Reid owned 160 acres of undeveloped property.</t>
  </si>
  <si>
    <t>Federal prosecutor David C. Iglesias claimed that he was pressured by Senator Pete Domenici and Representative Heather Wilson to file charges against a local Democratic state official before the November elections. After Iglesias did not agree to speed up the investigation, he was placed on a firing list and eventually let go. When the United States Department of Justice reviewed Iglesias's firing, it concluded that the decision was politically motivated.</t>
  </si>
  <si>
    <t xml:space="preserve">Federal prosecutor David C. Iglesias claimed that he was pressured by Senator Pete Domenici and Representative Heather Wilson to file charges against a local Democratic state official before the November elections. After Iglesias did not agree to speed up the investigation, he was placed on a firing list and eventually let go. When the United States Department of Justice reviewed Iglesias's firing, it concluded that the decision was politically motivated. </t>
  </si>
  <si>
    <t xml:space="preserve">Hastings attempted to use his position to gather politically sensitive information. He contacted a US attorney to gather information about the status of vote fraud charges during the 2004 gubernatorial election. Hastings himself said the call was appropriate. At the time, Hastings chaired the House ethics committee. </t>
  </si>
  <si>
    <t>Renzi was involved in a scheme that led to the firing of US attorney Paul K. Charlton and that enabled Renzi to postpone an official investigation into his dealings until after the 2006 elections. In April 2007, around the time when Renzi stepped down from the House Intelligence Committee, it turned out that Attorney General Alberto R. Gonzales played a crucial role in helping Renzi avoid an investigation. Note that the scandal about Gonzales already started in February or March 2007. Renzi was mentioned, but it is not clear when the speculations against Renzi started or when the speculations only targeted Gonzales' motives. Hence, the break date is the date of Renzi stepping down.</t>
  </si>
  <si>
    <t>On September 2, news broke that the FBI raided the office of Ted Stevens' son, Ben Stevens. The raid was based on allegations of an oil and gas service company (VECO Corporation) buying political influence. On May 7, 2007, VECO CEO Bill Allen pled guilty to bribery and illegal influence charges. At this point, Ted Stevens was not charged. However, he was linked to VECO, because Ben Stevens was a consultant for VECO. According to the press, Allen admitted he hired Ben Stevens for his political influence. Moreover, it became known that VECO transferred extensive campaign contributions to Ted Stevens. On July 30, 2007, the FBI raided Stevens' home. More allegations followed, and Stevens was indicted on July 29, 2008. On October 27, 2008, Stevens was found guilty of improperly reporting gifts and a felony. Stevens pled not guilty and claimed he was innocent. He did not resign but was defeated in an election, eight days after his conviction. In February 2009 (shortly before the scheduled sentencing hearing), a Justice Department probe found evidence that prosecutors and FBI agents withheld evidence that could have caused a "not guilty" verdict. Steven's indictment was dismissed on April 7, 2009.</t>
  </si>
  <si>
    <t>Young used earmarks to build a bridge that benefitted campaign donor and real estate developer Daniel J. Aronoff. In 2005, the earmarks were criticized because the spending of over $200 million was too high compared to the inhabitants of Alaska. The bridge became a famous example of political quid pro quos and gained the name ‘bridge to nowhere’. Young had to repay campaign funds, pay a fine, and was admonished.</t>
  </si>
  <si>
    <t>Vitter’s phone number was included in a list of phone records made by an escort service. The owner of the service, Deborah Palfrey, was known for running prostitution services. Vitter issued an apology, saying that the phone number was old and that he had already admitted his infidelity to his wife earlier. Vitter was not charged because the statute of limitations for prostitution had expired.</t>
  </si>
  <si>
    <t>Lewis directed $500,000 for the ‘Barracks Row’ area project to create a community hub between Eastern Market, Barracks Row, and Capitol Hill. Later on, news got out that Lewis’ family owned a home in Barracks Row, and that Lewis directed funds to an area he had private interest in.</t>
  </si>
  <si>
    <t>In 2007, an oil and gas service company (VECO Corporation) pled guilty to bribing politicians. The ties between Don Young and VECO were scrutinized because Young had received campaign contributions from VECO. On July 25, 2007, the Wall Street Journal ("Alaska's Young, Stevens face inquiry") announced that Young was the subject of a criminal inquiry. Young was under scrutiny but not charged.</t>
  </si>
  <si>
    <t>Filner had a conflict with airport employees, pushed a female employee, refused to leave, and entered an unauthorized area. He and the alleged victim were interviewed by the police and released afterward. Filner was charged with assault by the Loudoun County magistrate.</t>
  </si>
  <si>
    <t>Craig (married with three children) was arrested in a public restroom by an undercover police agent on June 11, 2007, where he allegedly tried to pick up men. Craig pled guilty to a disorderly conduct charge on August 8, 2007. He paid a fine and was put on one-year probation. During the scandal, more men came forward, saying they had sexual encounters with Craig or that Craig proposed being sexually active.</t>
  </si>
  <si>
    <t>Weller had financial holdings in Nicaragua, which he did not report. This was a controversy not because of tax evasion, but because Weller supported Latin American trade agreements that would be beneficial for investors who bought and sold land in Nicaragua (without informing Congress of his private interest). Weller was subsequently named one of the most corrupt members of Congress by a watchdog organization (CREW).</t>
  </si>
  <si>
    <t>Landrieu arranged a $2 million earmark for the company Voyager Expanded Learning shortly after receiving $30,000 in campaign donations from company executives and their families. In total, she received $80,000 from the company's employees and lobbyists. The watchdog organization CREW asked for an investigation. Landrieu dismissed the allegation, and it did not have any political consequences for her.</t>
  </si>
  <si>
    <t>Young directed a significant number of earmarks to companies that employed two of his children. Before the scandal, Young was already known as the ‘champion earmarker’.</t>
  </si>
  <si>
    <t>Seven hours after his arrest for drunk driving, Fossella, a married father of three, was released into the custody of Laura Fay. Fay lived with her 3-year-old daughter close to the spot where Fossella was arrested. Reporters began to ask whether Fay's daughter was fathered by Fossella (while being drunk, Fossella allegedly implied that Fay's daughter was his, that she was ill, and that he rushed to see her). On May 8, Fossella confessed that the child was his and that he did have an affair.</t>
  </si>
  <si>
    <t>Richardson failed to pay her loan on a two-story home in Sacramento she bought in January 2007. In May 2008, the news revealed that this home was threatened with foreclosure and was up for sale to fulfill Richardson's mortgage obligations. On the scandal break date, Richardson's debt was said to be $18,356. Richardson denied the claims and said she was on loan term relegation. In the next few days, more allegations followed, including a failure to pay property taxes and foreclosure on two other homes. Moreover, news outlets challenged her decision to use private money to finance her campaign while defaulting on loan obligations. Based on continued allegations, the Ethics Committee started a full investigation. While there were no consequences for Richardson, the Justice Department found her mortgage broker guilty of mortgage fraud.</t>
  </si>
  <si>
    <t>Buchanan allegedly pressured employees from his car dealerships into donating to his election campaign committee. He allegedly used them as straw donors, i.e., individuals who got reimbursed for the investments. They were offered gifts and cash in return. The respective employees filed a lawsuit against Buchanan. They also claimed that the dealerships falsified income statements and tax returns. By 2009, Buchanan had faced 14 civil lawsuits. Note that prior to the scandal, the car dealerships Buchanan partially owned were already discussed by some media outlets as Buchanan faced lawsuits related to consumer fraud. E.g., the Sarasota Herald-Tribune reported on May 24, 2008: "A former finance director at Sarasota Ford has named U.S. Rep. Vern Buchanan in a lawsuit that alleges he was fired for reporting fraudulent practices at the dealership".</t>
  </si>
  <si>
    <t>Over a decade, Rangel paid below-market rent on four luxury apartments. The market price of the apartments was around $8,000, and Rangel paid only $3,894 per month. The apartments were rented by the Olnick Organization. The deduction in rent should have been registered as gifts or special treatment. According to the policy center, rent advantages represent illegal corporate campaign contributions.</t>
  </si>
  <si>
    <t xml:space="preserve">Mahoney's former mistress and worker on his staff threatened to sue him. He allegedly agreed to pay her $121,000. He also allegedly promised her jobs at different companies. The FBI looked into the possibility that Mahoney put the mistress on his payroll so that she would not reveal the affair. Mahoney admitted to numerous affairs. His wife filed for a divorce. </t>
  </si>
  <si>
    <t>Thompson violated house rules by taking part in a three-day conference trip to the Caribbean, organized and partially sponsored by Citigroup. Members of Congress and their staff are not allowed to follow invitations from corporations with registered lobbyists. The House Ethics Committee reviewed the trip. All Congress members involved had to cover the costs ($11,800).</t>
  </si>
  <si>
    <t>Kilpatrick violated house rules by taking part in a three-day conference trip to the Caribbean organized and partially sponsored by Citigroup. Members of Congress and their staff are not allowed to follow invitations from corporations with registered lobbyists. The House Ethics Committee reviewed the trip. All Congress members involved had to cover the costs ($11,800).</t>
  </si>
  <si>
    <t xml:space="preserve">Rangel took part in corporate-paid trips to the Caribbean, which violated House gift rules. The trips took place in 2007 and 2008. He was admonished on February 26, 2010. </t>
  </si>
  <si>
    <t xml:space="preserve">Payne violated house rules by taking part in a three-day conference trip to the Caribbean organized and partially sponsored by Citigroup. Members of Congress and their staff are not allowed to follow invitations from corporations with registered lobbyists. The House Ethics Committee reviewed the trip. All Congress members involved had to cover the costs ($11,800). </t>
  </si>
  <si>
    <t>After Obama resigned his Senate seat, Governor Rod Blagojevich was to name a successor. On December 9, 2008, Blagojevich was arrested on corruption charges, including the allegation that he had tried to sell the Senate seat of Barack Obama to the highest bidder. Jesse Jackson Jr. was one of the individuals being considered for the Senate position. Just after, speculations arose that Jackson could be the candidate who considered trading contributions against the seat. Jackson denied involvement. Eventually, allegations against Jackson's involvement with Blagojevich were overshadowed by a personal expense scandal that eventually led to his sentencing. The expense scandal is not part of the sample because it was revealed only after Jackson took a medical leave.</t>
  </si>
  <si>
    <t>The scandal started with Murtha being placed on CREW’s 2006 most corrupt members of Congress report. According to the report, Murtha steered appropriations to clients of KSA Consulting, who employed Murtha's brother, and to clients of the PMA Group, which was founded by a former senior staffer. Also, Murtha became known for steering a significant amount of money to his district. In 2009, news got out that Murtha steered earmarks of about $250 million to a Pennsylvanian defense research center, which in turn gave money to companies that donated to Murtha’s campaign, and to Murtech, the firm of his nephew Robert C. Murtha Jr. The scandal break date is the date Kuchera Defense Systems and Kuchera Industries were raided by the FBI. The PMA group was raided at the beginning of February 2009. Investigations were dropped without charges against Murtha.</t>
  </si>
  <si>
    <t>Bishop's stepdaughter Aayesha Reese was on the payroll for two counties at the same time. She got paychecks from a youth program that was funded by Bishop while at the same time working for District Attorney Paul Howard. She received $7,500 as an administrative assistant. Bishop said he was not aware of his stepdaughter's association with the youth program and removed her from the payroll. Aayesha Reese’s husband, Stephen M. Reese, also received checks from the youth program. The payment to Reese was deposited in his mother-in-law's bank account (Bishop's wife). The Georgia Bureau of Investigation announced on May 28, 2009, that they did not find any criminal intent.</t>
  </si>
  <si>
    <t>Waters used her position to request TARP funds to bail out a bank in which she had a financial interest (OneUnited). She did not disclose to the Treasury Department that her husband, Sidney Williams, invested in one of the banks that were merged into OneUnited and, as such, received interest payments between $250,000 and $500,000. Waters requested $50 million, of which OneUnited received $12 million. The House Ethics Committee cleared Waters in 2012 of all charges.</t>
  </si>
  <si>
    <t>In 2005, two AIPAC (American Israeli Public Affairs Committee) officials were indicted for sharing information about Iran and Iraq that came from US policymakers. In 2009, news got out that Harman was taped saying she would pressure the Justice Department into reducing the charges. She allegedly traded influence in exchange for increased support for her campaign to chair the House Intelligence Committee. In June 2009, the Justice Department announced that Harman was no longer under investigation. She resigned from Congress in February 2011 to lead the Woodrow Wilson Center.</t>
  </si>
  <si>
    <t>Sullivan checked himself into the rehab facility, the Betty Ford Center, to treat alcoholism. According to the break date article, there were prior incidents of public intoxication and arrest.</t>
  </si>
  <si>
    <t>An Ethics Committee investigation was launched to scrutinize the ties between James Moran and the PMA Group. Over the years, the PMA Group donated almost $1 million to Moran's political action committee and supported Moran’s brother’s gubernatorial campaign. Moran was cleared in 2010 with the explanation that receiving campaign donations from entities that received earmarks is not illegal. Note that Moran's ties to PMA were scrutinized before news got out that Moran would be investigated by the House Ethics Committee.</t>
  </si>
  <si>
    <t>Rangel failed to disclose $500,000 in assets. Updated disclosure statements increased his net worth by twice as much (from $1,028,024 filed in May 2009 to $2,495,000). The assets included approximately $500,000 worth ML Allianz shares, approximately $115,000 worth Yum! Brands Inc. shares, shares in PepsiCo, and several land parcels.</t>
  </si>
  <si>
    <t>Graves was under investigation by the House Ethics Committee for allegedly misusing his position on the Small Business Committee. The allegations concerned Graves using the private plane of a contributor and inviting a longtime friend and business partner of his wife (Brooks Hurst) to a hearing on federal subsidies for renewable fuels without disclosing the relationship. On October 30, 2009, the New York Times and the Washington Post reported that Graves was cleared and that the House Ethics Committee declared that the politician did not violate House rules.</t>
  </si>
  <si>
    <t>Kaptur was involved in the PMA earmark scandal alongside six other politicians. They were accused of exchanging official acts against contributions with the PMA Group. Together, the politicians steered over two years more than $200 million in earmarks to PMA Group clients and received $6.2 million in campaign contributions. Kaptur was cleared by the ethics committee on February 26, 2010. In contrast to Normal Dicks, Marcy Kaptur was not deliberately scrutinized before the break date. It was known, however, that PMA Group belonged to her campaign donors.</t>
  </si>
  <si>
    <t>Dicks was under investigation for steering funds to clients of the PMA Group. A list was published with the names of politicians said to have given earmarks to military contractors on the request of the PMA Group, including Norman Dicks. Politicians connected to the PMA Group have been scrutinized since the raid on the PMA Group’s office in February 2009. As the scandal break date, we use the date it became known that Dicks was under official investigation. Note that the PMA Group was raided in November 2008. Since then, the media has scrutinized politicians who received donations from the PMA Group or its clients.</t>
  </si>
  <si>
    <t>Buyer had a foundation called Frontier Education Foundation that was supposed to provide scholarships to college students. Major pharmaceutical companies donated money to Frontier, and Buyer was accused of helping to kill a 2007 provision meant to impose a limitation on drug advertisements. Buyer stated that there was no connection and that he helped Frontier Education Foundation as much as he would help any other charity. The controversy grew when it became known that the money going into the foundation was not used for scholarships but for Buyer’s golf trips. During the golf trips, Buyer allegedly met with representatives who had issues before the House Energy and Commerce Committee. The lobbying firm PhRMA, which employed Buyer’s son, was central to the accusations. On January 29, 2010, Buyer announced that he would not seek reelection. He cited his wife’s autoimmune disorder, but critics suspected the cause was increased scrutiny and ethical problems. Note that before the scandal broke, USA Daily had already reported on the association between Buyer and pharmaceutical companies.</t>
  </si>
  <si>
    <t xml:space="preserve">Meeks was involved with Ponzi schemer Allen Stanford. He frequently enjoyed luxurious holidays sponsored by Stanford and allegedly exchanged favors. After the Ponzi scheme scandal broke, Meeks turned prior campaign contributions from Stanford towards charity. </t>
  </si>
  <si>
    <t xml:space="preserve">Meeks helped found the charity New Direction Local Development Corp. together with Senator Malcolm A. Smith. The charity was meant to help victims of Hurricane Katrina. However, no funds reached the hurricane victims.  </t>
  </si>
  <si>
    <t>On March 3, 2010, Massa announced not to opt for reelection based on a cancer occurrence. In the same speech, he responded to allegations of sexual harassment that were held against him. The next day, the House majority leader confirmed that the House Ethics Committee investigated Massa for sexual misconduct. The media caught up on the allegations and reported that Massa had made advances towards a male staffer. With increasing pressure, Massa resigned.</t>
  </si>
  <si>
    <t xml:space="preserve">Mark Souder, a devoted Christian and father of three children, had an extramarital affair with his staffer, Tracy Meadows Jackson (likewise married). When he admitted it on May 18, 2010, he immediately announced his resignation. Noteworthy is that Souder had a reputation as a family value conservative. </t>
  </si>
  <si>
    <t xml:space="preserve">Tom Price, Melvin Watt, Joseph Crowley, Earl Pomeroy, John Campbell, Christopher Lee, Jeb Hensarling, and Frank Lucas were scrutinized for holding fundraisers and raising campaign donations 48 hours prior to voting on a financial service reform bill. Some of the contributors had a financial interest in the bill. House rules instruct Representatives not to raise donations that could cause or appear to cause a conflict of interest. </t>
  </si>
  <si>
    <t>Meeks failed to disclose a $40,000 loan he received from a real estate broker and 'old friend' Edul Ahmad who himself was investigated for wire and bank fraud. The loan was called into question because it was unrecorded and did not have a specified interest rate or repayment schedule. Meeks did not make a repayment in the three years before the scandal outbreak. It was used to repay a $830,000 mansion Meeks bought from campaign contributors below market value. According to campaign rules, this should have been declared as an unrecorded gift.</t>
  </si>
  <si>
    <t xml:space="preserve">Hal Rogers directed $18.9 million to multiple non-profit groups that supported him politically and financially (charities with close personal connections). This was an issue as earmarks for for-profit companies were banned in March 2010. </t>
  </si>
  <si>
    <t xml:space="preserve">Johnson gave college scholarships to relatives and the children of top campaign aids. In total, 23 scholarships violated eligibility rules (scholarships were given to students residing outside her district). </t>
  </si>
  <si>
    <t>Bishop gave scholarships to family members, including his stepdaughter and his wife's niece. Bishop's office answered that at the time the scholarships were allocated, it was not explicitly stated that this was not accepted. The language used in the guidelines changed only after 2008 to not include family members. The scholarships were awarded in 2003 and 2005. His office announced he would reimburse the scholarships.</t>
  </si>
  <si>
    <t>Jacks had an extramarital affair with restaurant hostess Giovana Huidobro. He publicly apologized to his constituents. His wife, Sandi Jackson, said shortly after that she had known about the affair and that the couple had undergone marital counseling.</t>
  </si>
  <si>
    <t>Tierney’s wife, Patrice, pleaded guilty to being involved in an illegal money-gambling scheme run by her brother in Antigua. According to the allegations, Patrice’s brother, Robert Eremian, created shell companies to launder and tunnel millions of dollars into the US. Around the break date, the Congressman remained relatively unaffected. He won reelection a month after his wife pled guilty. In 2012, the scandal resurfaced, this time accusing Tierney himself of failing to disclose more than $200,000 his wife had received from her brother. According to campaign rules, members of Congress do not have to disclose gifts that spouses receive, yet they have to disclose the source of their spouse’s income. Moreover, Daniel Eremian stated in court that Tierney was aware of every family transaction. Tierney did not face any legal consequences.</t>
  </si>
  <si>
    <t>The House Ethics Committee announced an investigation into whether Schmidt accepted free legal services from a Turkish-American group (the Turkish Coalition of America). The group had paid $500,000 to support Schmidt in a defamation lawsuit. Schmidt was not formally punished because the House committee believed that she had been misled by the lawyers. Schmidt was defeated in reelection before repaying the amount. She left office with a disclosure form that she owed the Turkish Coalition of America debt amounting to $515,000 to $1.05 million. Note that at the time this case was reported, there was already a defamation lawsuit running that Jean Schmidt had initiated. During the 2008 elections, Schmidt was accused of colluding with campaign donors and denying the Turkish Armenian Genocide.</t>
  </si>
  <si>
    <t>Wu's staff members reported that before the 2010 elections, Wu showed erratic behavior, which caused the staff members to worry about Wu's mental health. They reported that Wu was unpredictable and had loud and angry outbursts. Moreover, Wu emailed images of himself dressed as a tiger and entered a restricted airport area to ask passengers to vote for him.</t>
  </si>
  <si>
    <t>A staff member sued Hastings based on allegations of sexual harassment and the threat of retaliation. The lawsuit was settled in 2012. The case resurfaced In December 2017 when the media reported that the Treasury paid $220,000 for the settlement.</t>
  </si>
  <si>
    <t>Weiner uploaded sexually explicit photographs of himself on his Twitter account. The photos were meant to be sent privately to several women. After leaving Congress, it was revealed that Weiner also texted a 15-year-old girl. A criminal investigation started, and Weiner was sentenced.</t>
  </si>
  <si>
    <t>Lee was named the worst boss on Capitol Hill. After she was sued by her former legislative director Mona Floyd for piling on at work, working extreme hours, and not giving Floyd, who has a vision disability, sufficient breaks for her sight, the Washington Times analyzed Jackson Lee's pay records and found out that about half of Lee's staff quits every year.</t>
  </si>
  <si>
    <t>In 2011, Walsh's ex-wife, Laura, sued him for owing $117,437 in alimony payments to her and her three children. Walsh claimed that he did not have the financial means to pay for child support. However, he gave himself a loan of $35,000 from his private account for his election campaign. Walsh's attorney answered that Walsh did not have any problem paying child support and that he did not owe this amount. He and his ex-wife reached a settlement in 2012.</t>
  </si>
  <si>
    <t>Berkley allegedly supported or influenced legislation and regulators to help kidney care providers. Berkley claimed she only did so out of concern for Nevada’s patients, yet her husband (a physician with a nephrology practice that directs medical services at kidney care departments) had a $738,000 per year contract with one hospital in question. The House Ethics Committee launched an investigation on March 24, 2012. On July 10, 2012, it announced to launch a formal investigation into whether Berkley used her political power to support the business interests of her husband.</t>
  </si>
  <si>
    <t>The House Ethics Committee issued a report on August 1, 2012, fining Richardson $10,000. The report included a reprimand for misusing her staff, using House resources for personal purposes, and obstructing the committee's investigation. The investigation began after staff members contacted the Ethics Committee in October 2010. Richardson tampered with or destroyed evidence, including altering evidence of work hours and work status. Note that CREW made earlier allegations against Richardson for misusing official resources and staff. The break date is the announcement of the official investigation.</t>
  </si>
  <si>
    <t>During the financial crisis, Bachus was a ranking member of the House Financial Services Committee and, as such, had access to highly sensitive information. At the same time, close to the collapse of the financial markets, he engaged in trading and made choices betting on the collapse of the financial markets, which would lead to profitable payouts for him. On February 10, 2012, the Washington Post reported that Bachus was probed by the Office of Congressional Ethics. He was cleared in the spring of 2012.</t>
  </si>
  <si>
    <t>Andrews used his campaign money to pay for private expenses, such as a trip to a wedding in Scotland worth over $10,000. Over time, more suspicious expenses were added to the list. For instance, Andrew's fundraising trips to California frequently coincided with his daughter's acting auditions and recording sessions. In one year, Andrews traveled seven times to California for fundraising purposes. Between 2007 and 2012, this caused expenses of around $100,000. Moreover, he used campaign finances to partially pay for his daughter's graduation party under the disguise of celebrating his "20 years in Congress" anniversary. At the end of August 2012, the Office of Congressional Ethics released a report on the investigation. Andrews denied violating House rules. He resigned his post on February 4, 2014. The media assumed that he did so to avoid house enforcement, which would disadvantage him on the job market.</t>
  </si>
  <si>
    <t>Buchanan failed to disclose 17 positions at different entities, including real estate investment companies or his own foundation. He was confronted by ethics investigators and only then amended his disclosures to include the missing information. These entities were Boca Creek Development Co., Bowling Green Dealership LLC, Country Club Shores, Country Club Shores II, Regent Court Association Inc., and the Vernon G. and Sandra J.C. Buchanan Family Foundation Inc. Buchanan did not face any legal consequences.</t>
  </si>
  <si>
    <t>McKeon was among the politicians who received the ‘Friends of Angelo’ loan from Countrywide Financial. The loans came with a discounted interest rate to foster relations with politicians, celebrities, or high-ranking executives.</t>
  </si>
  <si>
    <t xml:space="preserve">Sessions received a $1 million loan under the "Friends of Angelo" Countrywide Financial program. He was later cleared when it was revealed that Sessions did not receive preferential treatment or a below-market mortgage rate. </t>
  </si>
  <si>
    <t>Grimm raised campaign contributions illegally with the help of Ofer Biton. The campaign donations exceeded contribution limits, came from foreigners without green cards, or were given in cash. CREW asked the Office of Congressional Ethics to investigate Grimm alleging that Grimm offered Green Cards in exchange for campaign contributions. At first, it seemed that the fundraising allegations had been dropped. However, the scandal evolved as Grimm's later scandal was revealed. It turned into a lengthy corruption investigation and ended with Grimm being sentenced for tax evasion, fraud, and lying under oath. Noteworthy is that Grimm was reelected just before pleading guilty, despite the investigation against him.</t>
  </si>
  <si>
    <t>Reid received more than $100,000 in illegal campaign donations (straw donors) from attorney and gaming lobbyist Harvey Whittemore. Reid and Whittemore had a long-standing connection, including one time when Reid backed a bill in 2002 that would help Whittemore move forward with a housing development outside Las Vegas. After it became known that federal authorities were looking into Whittemore-associated donations, Reid announced he would forward the donations to charity. Whittemore was indicted on charges of unlawful campaign contributions and lying about them. Later on, suspicion rose that the illegal contributions were based on an exchange of favors.</t>
  </si>
  <si>
    <t>During the 2012 reelection campaign, it turned out that four staff members of McCotter had faked petition signatures. To seek election and appear on the August ballot, the politician needed 2000 signatures, out of which only 244 seemed to be correct. When the scandal broke, it was not known how many signatures were fake, only that McCutter may not have made the required 2000. McCutter then planned on running as a write-in. When it became known that the vast majority of votes were fake, he resigned effective immediately. His staff members were sentenced; McCutter did not face any charges.</t>
  </si>
  <si>
    <t>Kirk paid a company for campaign work that employed his girlfriend, Dodie McCracken. This violates campaign law, according to which politicians need to disclose if they reimburse friends or family for campaign work. The local advertising firm The Patterson Group received $1.85 million, out of which $143,000 went to McCracken (for consulting and expenses). The complaint to the Federal Election Commission was sent by Kirk's ex-wife. Later, bills Kirk sponsored were also questioned. Moreover, he allegedly backed bills that favored the Patterson Group.</t>
  </si>
  <si>
    <t>The House Ethics Committee launched an investigation into Bishop exchanging favors with hedge fund manager Eric Semler. Bishop received $5,000 for his campaign account in exchange for a firework permit for Semler's son's bar mitzvah. Semler ran the hedge fund TCS Capital Management. The case started with Semler requesting the permit. Just before the favor was done, Bishop's staff contacted Semler to ask for a campaign donation. The permit and donations went through, and Semler and his wife transferred $5,000 ($2,500 each), their first political donation. Bishop answered the accusations that the Semlers donated to show gratitude. Nonetheless, the case was a violation of house rules, as house rules do not permit soliciting donations from interest groups associated with official actions. Tim Bishop was defeated in the midterm elections after the scandal. The investigation was closed in September 2014 without charges.</t>
  </si>
  <si>
    <t>30 Freshman Republicans went on a foreign policy mission to Israel. During the trip, six of them took a swim in the Sea of Galilee. Allegedly, alcohol was involved. Quayle was one of them. He responded that he took the swim for religious reasons. In the subsequent reelection campaign, he faced redistricting.</t>
  </si>
  <si>
    <t>30 Freshman Republicans went on a foreign policy mission to Israel. During the trip, six of them took a swim in the Sea of Galilee. Ken Yoder skinny-dipped. While swimming in the Sea of Galilee is not forbidden, majority Leader Eric Cantor criticized the lawmakers, saying that this incident would distract them from their mission. Kevin Yoder apologized publicly to his constituents.</t>
  </si>
  <si>
    <t>30 Freshman Republicans went on a foreign policy mission to Israel. During the trip, six of them took a swim in the Sea of Galilee. Allegedly, alcohol was involved. Reed was one of them.</t>
  </si>
  <si>
    <t>Congressman and physician Scott DesJarlais had multiple extramarital affairs, including an affair with a patient of his, whom he also allegedly pressured into having an abortion despite publicly opposing abortion rights. On November 19, 2012, the Washington Post further reported that the number of patients and co-workers who acknowledged sexual relationships with DesJarlais grew to six. After DesJarlais' reelection, his divorce transcript was published, in which he admitted under oath that all allegations were true and that his ex-wife also had two abortions. DesJarlais was later reprimanded by the Tennessee Board of Medical Examiners for having sexual relations with patients.</t>
  </si>
  <si>
    <t>Two prostitutes claimed that Menendez paid them for sex at an exclusive resort hotel in the Dominican Republic. The allegations started with paid sex and quickly developed into accusations that the prostitutes were underage or that a campaign contributor of Menendez had paid them. In March 2013, after an FBI investigation had started, one of the women confessed that the allegations were fake, that she never met the Congressman, and that she was paid in exchange for telling the story.</t>
  </si>
  <si>
    <t>Ryan was arrested in August 2012 for public intoxication while attending a wedding. A misdemeanor case was opened, to which he pled not guilty. This only got out the moment the case was dismissed. During the arrest, Ryan refused to take a breath taker test. By dismissing the case, the court agreed that Ryan was not intoxicated. Despite the dismissal, GOP politicians called for Ryan to explain the arrest.</t>
  </si>
  <si>
    <t>Crapo was arrested for driving under the influence. Crapo had claimed in the past that he abstained from alcohol because of his Mormon beliefs. After the incident, Crapo went on an apology spree and won reelection. He pled guilty on January 4, 2013, and received a one-year suspension on his driver's license, a $250 fine, and an order to participate in an alcohol safety program.</t>
  </si>
  <si>
    <t>After the earlier (false) prostitution scandal, more public scrutiny was placed on the relationship between Dr. Melgen and Menendez. In January 2013, the FBI raided Melgen’s office. The allegations concerned an exchange relationship: Menendez would receive gifts such as round-trips in Melgen’s private jet, vacations, campaign contributions ($60,000), and help to raise funds in the Dominican Republic. In turn, Melgen would receive political support, such as help with port security contracts. Eventually, Menendez and Melgen were indicted on charges of bribery and fraud on April 1, 2015. A trial started on September 6, 2017, but was declared a mistrial because the jury could not reach a unanimous verdict. The charges against Menendez were dropped, but he was admonished.</t>
  </si>
  <si>
    <t>New evidence emerged about Young using campaign donations for personal gains. A former campaign aide accused the politician of using the money for charter flights, hunting trips, and meals. Young was further accused of taking trips paid for by outside parties.</t>
  </si>
  <si>
    <t>Roskam took a $25,000 trip to Taiwan in 2011 together with his wife, financed by the Taiwanese government. The Office of Congressional Ethics asked for a full Ethics Committee investigation based on an impermissible gift claim. Roskam said the trip was approved by the House Ethics Committee, and that he felt wrongly targeted. The probe was dropped.</t>
  </si>
  <si>
    <t>During Paul's presidential bid, his campaign manager, Jesse Benton, bribed state senator Kent Sorenson to take on Paul's side. Sorenson switched from Michele Bachmann to Ron Paul in December 2011. Back then, Bachman already claimed Sorenson told her he was getting paid for switching. The full truth came out in 2013 when another former campaign aid leaked a phone conversation and emails. Benton and Sorenson were indicted subsequently. It is not clear whether Ron Paul was affected or involved. He did not win the presidential bid.</t>
  </si>
  <si>
    <t>Petri repeatedly took actions that would benefit the companies Oshkosh Corp. and The Manitowoc Company Inc., in which he had a large financial interest. Petri said that he had consulted multiple times with the House Ethics Committee about his stock holdings in Oshkosh and encouraged an investigation into this potential conflict of interest. He justified his interventions by saying that Oshkosh is one of the largest employers in his home state.</t>
  </si>
  <si>
    <t>Grayson's estranged wife, Lolita Grayson, accused him of domestic violence. He was not charged, but the divorce was settled publicly. The scandal reemerged in 2016 when Lolita Grayson expanded her allegation to long-term domestic abuse. The second time, Grayson lost political support and was not reelected.</t>
  </si>
  <si>
    <t>Mullin maintained his former job at his family plumbing business and paid himself a significant outside income, which violates house rules.</t>
  </si>
  <si>
    <t>Married Congressman Vance McAllister was caught on video kissing a woman in his district office. The woman was reported to be one of his staff members, Melissa Anne Hixon Peacock. Just after the video was published, McAllister asked for forgiveness. Note that McAllister was known for his family and moral values. Following the scandal, other members of the Republican Party called for him to resign. He lost his re-election attempt.</t>
  </si>
  <si>
    <t>After his campaign financing scandal, Grimm was indirectly tied to an organized crime family through his ownership of the restaurant Healthalicious. He responded to this by saying that he was no longer the owner of said restaurant and that he sold his interest in January 2011 before taking political office. However, the ties to Healthalicious resurfaced when Grimm's lawyer announced that prosecutors were pursuing a politically driven vendetta against Grimm. Sources alleged that Grimm would face an indictment because of financial irregularities with the restaurant. When reporting about the restaurant charges, the media repeatedly mentioned the campaign finance allegations. The indictment on April 28, 2014, included allegations that Grimm had failed to report $1 million in wages and sales and that he had evaded taxes in the years 2007 until 2010. Grimm pled not guilty. He won reelection in autumn 2014 but accepted a plea deal and pled guilty to one charge (under-reporting revenues by over $900,000) on December 23, 2014. He was sentenced to eight months in prison on July 7, 2015. He first tried to stay in Congress after the conviction but resigned later.</t>
  </si>
  <si>
    <t>Walsh ran as the incumbent for the Senate elections in 2014. During this time, news got out that Walsh plagiarized his master thesis. When he was asked whether he had plagiarized, he answered that he did not think so. As a consequence, Walsh dropped his reelection bid and lost his master degree. The case was made worse by the fact that Walsh was dishonest and used the trauma of his military experiences as justification.</t>
  </si>
  <si>
    <t>Ensign had an affair with campaign aide Cynthia Hampton while he was temporarily separated from his wife. The husband of his affair was a close friend of Ensign. Ensign claimed that once he got back together with his wife, he stopped the affair. He stepped down as chairman of the Republican Policy Committee one day after admitting the affair. Later on, it became known that Ensign's parents transferred $96,000 to the Hamptons. In 2010, the FBI investigated Ensign's communications. In 2011, Ensign announced he was dropping his reelection attempt.</t>
  </si>
  <si>
    <t xml:space="preserve">Coburn met with Doug Hampton (the former aide to John Ensign) during Hampton's one-year lobbying embargo. Congressional staff is not allowed to engage in lobbying activities for one year following their appointment. </t>
  </si>
  <si>
    <t>On January 10, 2013, allegations started against Bachmann that she did not pay her campaign staff. A former aide claimed that Bachmann asked staffers to sign non-disclosure agreements; only afterward would they receive their pay. The non-disclosure agreements included not sharing any immoral, unethical, or criminal behavior witnessed during the campaign with the media, police, or an attorney. One campaign aide filed a complaint with the FEC with campaign finance violations as the subject. Bachmann announced her retirement on May 29, 2013. The case was settled outside of court.</t>
  </si>
  <si>
    <t>Fattah's former aide, Gregory Naylor, pleaded guilty to charges of concealing the misuse of campaign donations and federal funds, amounting to $622,000. Although Fattah was not named in the report, the connection was quickly drawn. Federal and campaign donations were directed to nonprofit firms and then used to pay off the college debt of Fattah’s son. Moreover, a loan for Fattah’s 2007 mayoral campaign was paid off with a large illegal campaign donation. On July 29, 2015, Fattah was indicted for the misuse of federal, charitable, and campaign funds. He was sentenced to ten years in prison on December 13, 2016.</t>
  </si>
  <si>
    <t>When Democratic State Senator Phillip Puckett abruptly resigned in June 2014, his exit gave Republicans the majority over the Senate, which they needed to have the final say about a health care decision. Puckett’s exit was surrounded by speculation that Republicans had offered him and his daughter jobs. In October 2014, newspapers started to report that Democratic Senator Mark Warner had tried to dissuade Puckett from leaving, making job offers for Puckett's daughter as well. Warner answered that he was just brainstorming about potential jobs. The Republican Party filed an ethics complaint, which did not have any consequences.</t>
  </si>
  <si>
    <t>Farenthold was sued by his former female spokesperson (Lauren Greene) for being fired after she complained about Farenthold's chief of staff, Bob Haueter. She further claimed that she and others had suffered from discrimination and sexual harassment, and that Farenthold would drink excessively and create a hostile work environment. The lawsuit ended with a private settlement from Farenthold to Greene.</t>
  </si>
  <si>
    <t>Shock used campaign funds and expense allowances for private purposes and the decoration of his congressional office. He resigned and was indicted. Eventually, all charges were dropped, but Schock had to pay a penalty of $10,000 to the FEC, $42,000 to the IRS, and $68,0000 to his campaign fund. His campaign committee pled guilty to a misdemeanor (for failing to properly report expenses).</t>
  </si>
  <si>
    <t>Grayson violated house rules by managing hedge funds incorporated in the Cayman Islands. Members of Congress are not allowed to receive compensation. Newspapers alleged that Grayson helped investors avoid taxes.</t>
  </si>
  <si>
    <t>Honda gave re-election campaign tasks to members of his (taxpayer-funded) government office staff and thus violated House rules. Note that one month before the break date, it became known that Honda would face an investigation, but it was not known what the investigation was.</t>
  </si>
  <si>
    <t>Brown used the nonprofit charity One Door for Education Foundation Inc. to channel donations to her private accounts. The charity was meant to give scholarships to underprivileged students. Instead, around $800,000 that came in as donations was transferred to the private bank accounts of Brown and her associates. Brown was convicted on May 11, 2017, on 18 corruption charges. On December 4, 2017,  she was sentenced to five years in prison and restitution payments. Note that before the break date, on March 3, 2016, The Hotline wrote Brown's name was on a list of individuals who received a subpoena. It was not known why.</t>
  </si>
  <si>
    <t>Hunter used campaign funds for private purposes, including video games for his son, the private school of his children, travel charges, payments to a Center for Oral and Facial Surgery, etc. Hunter and his wife were indicted on August 21, 2018, for illegally converting and stealing more than $250,000 in campaign funds.</t>
  </si>
  <si>
    <t>Sturzman hired the husband of his wife's sister (Gabe Rivera) as a campaign worker and paid him a higher salary than was paid to his successor. Moreover, Stutzman was accused of using campaign funds to finance family vacations.</t>
  </si>
  <si>
    <t>Price traded more than $300,000 in shares from approximately 40 healthcare companies. This, on a stand-alone basis, is legal, yet at the same time, Price tried to push through legislation that could have a positive impact on the stock prices of those companies. His largest stock purchase was Innate Immunotherapeutic. Although there were calls for investigations, Price did not face legal consequences.</t>
  </si>
  <si>
    <t>Brady was accused of paying $90,000 to political rival Jimmie Moore in exchange for his dropping out of the 2012 Democratic primary.</t>
  </si>
  <si>
    <t>Murphy had an extramarital affair with Shannon Edwards. This leaked during his divorce proceedings in September 2017. On October 3, 2018, news broke that Murphy had asked Edwards to have an abortion. This was particularly controversial, as Murphy had a very clear pro-life political stance. In a leaked text message, Murphy wrote to Edwards that the pro-life opinions and speeches were written by his staff. Furthermore, the news reported that Murphy was hostile, aggressive, and abusive towards his staff. Murphy announced his retirement on October 4, 2017, which caused more former staffers to come forward with allegations against him. He announced his resignation on October 5, 2017, effective October 21, 2017.</t>
  </si>
  <si>
    <t>At the end of 2017, an investigation into multiple sexual harassment allegations against Conyers started. The first case was a female staffer who was fired after she did not respond to Conyers' sexual advances. This took place in 2015 but was not reported as the former employee traded a paid settlement of $27,000 for a confidentiality agreement. In 2017, an internet news page took up on these accusations, and shortly after, more and more allegations made by other women followed. Conyers denied the allegations but stepped down anyway.</t>
  </si>
  <si>
    <t>Barton sent a nude photo and an explicit text message to a girlfriend while still being married to his second wife. The photo appeared on the internet. Barton apologized for the relationship and the photograph. In the following couple of days, more (including at least two married) women publicly spoke about a sexual relationship with Barton. An anonymous woman also leaked phone calls and videos Barton had sent her. Initially, Barton planned to run for reelection. However, on November 30, 2017, he announced his retirement. He remained in office until January 2019.</t>
  </si>
  <si>
    <t>Grijalva had ethical issues starting in 2015 when he used House funds to make a severance payment of $48,000 to a female staffer who accused him of drunkenness and creating a hostile work environment. These allegations resurfaced in 2017 and in 2018 when Interior Secretary Ryan Zinke published them on Twitter.</t>
  </si>
  <si>
    <t>Farenthold used $84,000 from an official government account to settle a sexual harassment claim. Farenthold promised to repay the amount but did not do so. He resigned on April 6, 2018. Note that because of the #metoo campaign, Farenthold had already been repeatedly in the news concerning sexual harassment (e.g., Washington Post on October 29, 2017: "The high risk of reporting sexual harassment in Congress").</t>
  </si>
  <si>
    <t>Bernal's former election campaign finance director accused him of having sexually harassed and touched her inappropriately. She said he frequently asked for dates and intercourse. A second woman came forward on December 13, 2017. Two more followed. House Democratic Leader Nancy Pelosi, the chair of the Democratic Congressional Campaign Committee, Ben Ray Luján, and others asked Kihuen to resign. He did not resign but announced not to pursue reelection on December 16, 2017.</t>
  </si>
  <si>
    <t>Franks asked two female staffers whether they would agree to become a surrogate for him. According to CNN, the House Ethics Committee investigated whether Franks engaged in "conduct that constitutes sexual harassment and/or retaliation for opposing sexual harassment" (CNN, December 7, 2017, "Arizona GOP Rep. Trent Franks to resign following sexual harassment claim"). Franks stepped down from the House once the House Ethics Committee announced their investigation.</t>
  </si>
  <si>
    <t>In 1983, Carper divorced his wife, Diane Beverly. In the process, rumors got out that the politician had beaten his wife and his children (an article about this was published in 1982 by the New York Post). In a 1998 interview, Carper confessed this to journalist Celia Cohen and said that he had punched his ex-wife in an argument in a way that gave her a black eye. This did not get into the news until 2017 when the journalist wrote the book "Only in Delaware" and mentioned the story. The report was published on December 14, 2017.</t>
  </si>
  <si>
    <t>Meehan, a married father of three, made advances toward a female staffer. He told her that he was in love with her, sent handwritten letters, and became hostile when she did not reciprocate his advances (until she resigned). Moreover, newspapers reported that Meehan used congressional office funds to settle the case with the staffer. At the time, Meehan was a member of the Ethics Committee (tasked with punishing sexual misconduct). He was removed from the Committee immediately. He announced his retirement on January 25, 2018, and abruptly resigned on April 27, 2018.</t>
  </si>
  <si>
    <t>Allegations that Schweikert improperly used campaign funds. The exact allegations, e.g., what money was spent on, are unknown. In the break date article, The Associated Press referred to "generous spending" (The Associated Press State &amp; Local, May 31, 2018: "Ethics committee unveils review of Arizona lawmaker, aide").</t>
  </si>
  <si>
    <t>Collins engaged in insider trading and was arrested on August 8, 2018. The head of a drug company, in which Collins and his son had a large financial stake, sent a warning email to Collins, reporting on a failed experimental treatment that had significant financial consequences for the firm and its shareholders. Minutes after reading the email, Collins called his son, who sold his stock, thus avoiding losses of over $500,000. Collins himself did not sell any stock. Note that it was known that Collins had a large stake in the company Innate Immunotherapeutics. Hence, there were reports about him trading shares and about potential conflicts of interest (e.g., The Pharma Letter, January 6, 2017).</t>
  </si>
  <si>
    <t>Ellison was accused of physical and emotional abuse by his ex-girlfriend, Karen Monahan. People who knew the couple said they had a history of fighting, including accusations of cheating. During the scandal outbreak, Monahan made a statement that Ellison had abused her emotionally. Keith denied the allegations. Furthermore, Ellison's then-girlfriend said that he was very respectful towards women. The scandal started as a domestic violence case when Monahan’s son wrote a Facebook post claiming that Ellison had abused his mother.</t>
  </si>
  <si>
    <t>New allegations about the extramarital affairs of Hunter emerged: During the investigation, it became known that the money Hunter illegitimately used for private expenses also included expenditures for five extramarital affairs (dinner and hotel bills). Among those five women were one lobbyist and congressional aides.</t>
  </si>
  <si>
    <t>Meadow’s Chief of Staff, Kenny West, resigned his position after he was accused of inappropriate behavior by multiple female employees. Despite leaving the position, West remained on the House payroll for about five months, costing the house around $60,000. This violates house rules. The House Committee on Ethics fined Meadows $40,000 in November 2018. Also, the Committee claimed that by not stripping West of his title, he retained authority over staff and that the congressional office was not free from discrimination. Note that there were earlier reports about Kenny West and sexual harassment in the office of Meadows. E.g., on October 25, 2017, Politico.com wrote: "Gowdy's staffer recommended Meadows fire the staffer, though Meadows kept him on payroll for months after that, the report said." The break date is the date the Ethics Committee officially issued a letter of reproval saying that Meadows mishandled the situation.</t>
  </si>
  <si>
    <t>An aide filed a lawsuit against Jackson Lee, claiming that she was fired as a result of complaining about sexual harassment against a member of the Congressional Black Caucus Foundation. As a consequence, Jackson Lee resigned as chairwoman of the Congressional Black Caucus Foundation. Jackson Lee denied firing the woman out of retribution. The Black Caucus Foundation gave Jackson Lee an ultimatum of either stepping down or facing a vote of removal.</t>
  </si>
  <si>
    <t>Gaetz posted a tweet expressing his ability or intentions to leak private and discrediting information about Michael Cohen and his alleged extramarital affairs. The tweet was published one day before Cohen's public testimony and was hence widely understood as witness intimidation. The Florida Bar and the House Ethics Committee opened an investigation.</t>
  </si>
  <si>
    <t>Huizenga faced claims of having misused campaign funds for personal use. Campaign fundraiser trips to, e.g., Disney World, were scrutinized as Huizenga was often accompanied by staff members and their families.</t>
  </si>
  <si>
    <t>In the midst of her divorce proceedings, the website RedState.com claimed that Hill had multiple relationships: One with a young female staffer that allegedly lasted for two years, and another one with her finance director. After the #metoo movement, members of Congress were forbidden to have relationships with employees. Hill resigned.</t>
  </si>
  <si>
    <t>San Nicolas had a sexual relationship with a member of his staff. Moreover, he allegedly broke campaign finance rules by using campaign funds for personal purposes and by accepting more than the legal contribution limit from one campaign donor.</t>
  </si>
  <si>
    <t>Hastings maintained a (long-term) relationship with a member of his staff, which became a violation of house rules following the #metoo scandals.</t>
  </si>
  <si>
    <t>Resigned as House Republican leader on (29/09/2005), resigned (05/04/2006), effective (09/06/2006), and sentenced to three years in prison for conspiracy and five years for money laundering (10/01/2011). The sentence was changed to 10 years of probation and community service.</t>
  </si>
  <si>
    <t>Resigned as House Republican leader on (29/09/2005), resigned (05/04/2006), effective (09/06/2006), sentenced to 3 years in prison for conspiracy and five years for money laundering (10/01/2011). The sentence was changed to 10 years probation and community service.</t>
  </si>
  <si>
    <t>Resigned (8/12/2003), sentenced to 100 days in prison based on charges of manslaughter and misdemeanor (22/01/2004).</t>
  </si>
  <si>
    <t>Announced retirement (21/12/203) effective 03/01/2005.</t>
  </si>
  <si>
    <t>Expulsion from Congress, sentenced to a seven-year prison sentence (20/07/2002).</t>
  </si>
  <si>
    <t>Removed from congressional committees.</t>
  </si>
  <si>
    <t>Withdrew presidential bid.</t>
  </si>
  <si>
    <t>Unsuccessful Senate election campaign.</t>
  </si>
  <si>
    <t>Retired at the end of the term (Announced retirement on the day the case became publicly known).</t>
  </si>
  <si>
    <t>Resigned as Senate Republican Leader.</t>
  </si>
  <si>
    <t>Announced retirement (21/12/2003) effective 03/01/2005.</t>
  </si>
  <si>
    <t>Admonished.</t>
  </si>
  <si>
    <t>Resignation as chairman of the House Administration Committee (15/01/2006), resigned (03/11/2006) effective immediately, sentenced (19/01/2007) to 30 months in prison, a $6,000 fine, and 200 hours of community service.</t>
  </si>
  <si>
    <t>Reimbursed the costs .</t>
  </si>
  <si>
    <t>Resigned as House Republican leader on (29/09/2005), resigned (05/04/2006), effective (09/06/2006), sentenced to 3 years in prison for conspiracy and five years for money laundering (10/01/2011). The sentence was changed to ten years of probation and community service.</t>
  </si>
  <si>
    <t>Gave up donations from Abramoff or Abramoff associates, commanded to reimburse the US Treasury.</t>
  </si>
  <si>
    <t>Retired (15/06/2005), resigned (28/11/2005) effective immediately, sentenced (03/03/2006) to eight years and four months in prison, and restitution payments.</t>
  </si>
  <si>
    <t>Alleged to forward questionable contributions to charity.</t>
  </si>
  <si>
    <t xml:space="preserve">Unsuccessful Senate election campaign. </t>
  </si>
  <si>
    <t>Sentenced to 13 years in prison (13/11/2009).</t>
  </si>
  <si>
    <t>Retired (announcement on 10/01/2008).</t>
  </si>
  <si>
    <t xml:space="preserve">SEC investigation with no charges. </t>
  </si>
  <si>
    <t>Ethics investigation stepped down from the Ethics Committee on 21/04/2006.</t>
  </si>
  <si>
    <t>Sentenced to one-year probation and a $350 fine (13/06/2006), entered a treatment facility.</t>
  </si>
  <si>
    <t>Resigned (29/09/2005).</t>
  </si>
  <si>
    <t>I stepped down from the House Intelligence Committee. Elected as governor (2007). Later retired (24/08/2007) effective 03/01/2009. Sentenced to three years in prison (28/10/2013).</t>
  </si>
  <si>
    <t>Stepped down from the House Intelligence Committee. Elected as governor (2007). Later retired (24/08/2007) effective 03/01/2009. Sentenced to three years in prison (28/10/2013).</t>
  </si>
  <si>
    <t>Admonished, retired (announcement on 04/10/007).</t>
  </si>
  <si>
    <t>Ran for the Senate but was not successful.</t>
  </si>
  <si>
    <t>Indicted (29/07/2008), conviction (27/10/2008), dismissal of the indictment because of tempered evidence (07/04/2009).</t>
  </si>
  <si>
    <t xml:space="preserve">Had to repay campaign funds from Aronoff, was admonished, and had to pay a fine. </t>
  </si>
  <si>
    <t>Resigned (01/09/2007).</t>
  </si>
  <si>
    <t>Charged with assault and battery. The Ethics Committee closed the investigation without punishment. Filner had to pay a $100 fine (misdemeanor trespassing).</t>
  </si>
  <si>
    <t>Retired (Announcement on 21/09/2007).</t>
  </si>
  <si>
    <t>Resigned (20/05/2008), sentenced to five days in prison (08/12/2008).</t>
  </si>
  <si>
    <t xml:space="preserve">Resigned (20/05/2008), sentenced to five days in prison (08/12/2008). </t>
  </si>
  <si>
    <t>Scolded.</t>
  </si>
  <si>
    <t>Had to pay back the costs of the trip.</t>
  </si>
  <si>
    <t>The investigation was dropped without charges. Murtha passed before his reelection campaign.</t>
  </si>
  <si>
    <t>Cleared.</t>
  </si>
  <si>
    <t>Retired (07/03/2011), resigned (21/04/2011), effective (03/05/2011).</t>
  </si>
  <si>
    <t>Retired (Announcement 29/01/2010), effective 03/01/2011.</t>
  </si>
  <si>
    <t>None, nominated as Ambassador to China by Barack Obama.</t>
  </si>
  <si>
    <t>Gave scrutinized contribution towards charity.</t>
  </si>
  <si>
    <t>Resigned (05/03/2010), effective (08/03/2010).</t>
  </si>
  <si>
    <t>Resigned (18/05/2010), effective (21/05/2010).</t>
  </si>
  <si>
    <t>Ethics investigation.</t>
  </si>
  <si>
    <t>Repaid the scholarship funds.</t>
  </si>
  <si>
    <t>Planned to reimburse the scholarships.</t>
  </si>
  <si>
    <t>Resigned (09/02/2011).</t>
  </si>
  <si>
    <t>Ordered to return $500,000 for legal services. Defeated during the reelection attempt.</t>
  </si>
  <si>
    <t>Resignation (21/06/2011), sentenced (25/09/2017) to 21 months in prison.</t>
  </si>
  <si>
    <t xml:space="preserve">Resigned (25.07.2011), effective 03.08.2011. </t>
  </si>
  <si>
    <t>Reprimand, fined.</t>
  </si>
  <si>
    <t>Resigned (04/02/2014), effective 18/02/2014.</t>
  </si>
  <si>
    <t>Indictment (28/04/2014), reelected, resigned (30/12/2014), effective 05/01/2015, sentenced to eight months in prison (17/07/2018).</t>
  </si>
  <si>
    <t>Resigned (06/07/2012), effective immediately.</t>
  </si>
  <si>
    <t>Investigation closed without charges.</t>
  </si>
  <si>
    <t>Reprimand by Tennessee Board of Medical Examiners.</t>
  </si>
  <si>
    <t>Sentenced (04/01/2013) to a one-year suspension on driver's license, a $250 fine, and ordered to participate in an alcohol safety program.</t>
  </si>
  <si>
    <t>Announced retirement.</t>
  </si>
  <si>
    <t>Indicted (01/04/2015) but later cleared, stepped down as ranking member of the Foreign Relations Committee.</t>
  </si>
  <si>
    <t>Ran for president, but did not win the bid.</t>
  </si>
  <si>
    <t>Resigned (21/01/2014). Sentenced to a one-year probation (20/11/2013).</t>
  </si>
  <si>
    <t>Lost reelection.</t>
  </si>
  <si>
    <t>Indictment (28/04/2014), reelected, resigned (30/12/2014) effective 05/01/2015, sentenced to 8 months in prison (17/07/2018).</t>
  </si>
  <si>
    <t>Dropped reelection bid (07/08/2014).</t>
  </si>
  <si>
    <t>Resigned (23/06/2016), sentenced to 10 years in prison (13/12/2016).</t>
  </si>
  <si>
    <t>Sentenced to five years in prison and restitution payments (04/12/2017).</t>
  </si>
  <si>
    <t>Forced to leave congressional committees, resigned (07/01/2020), and sentenced to 21 months in prison (17/03/2020).</t>
  </si>
  <si>
    <t>Ethics investigation. Attempted nomination to the US Senate.</t>
  </si>
  <si>
    <t>Resigned as Democratic National Committee chairwoman.</t>
  </si>
  <si>
    <t>FBI issued search warrant.</t>
  </si>
  <si>
    <t>Retired (Announcement 04/10/2017), resigned (05/10/2017), effective 21/10/2017.</t>
  </si>
  <si>
    <t>Resigned (07/12/2017), effective 02/01/2018.</t>
  </si>
  <si>
    <t>Resigned (05/12/2017), effective immediately.</t>
  </si>
  <si>
    <t>Retired (Announcement 30/11/2017).</t>
  </si>
  <si>
    <t>Retired (14/12/2017), resigned (06/04/2018), effective immediately.</t>
  </si>
  <si>
    <t>Retired (announcement 16/12/2017).</t>
  </si>
  <si>
    <t>Resigned (07/12/2017), effective the next day.</t>
  </si>
  <si>
    <t>Removal from Ethics Committee, retired (announcement on 25/01/2018), resigned (27/04/2018) effective immediately.</t>
  </si>
  <si>
    <t>Announced retirement (02/04/2018).</t>
  </si>
  <si>
    <t>Resigned (30/09/2019), sentenced to 26 months in prison (17/01/2020).</t>
  </si>
  <si>
    <t>Ran for Senate (unsucessfully).</t>
  </si>
  <si>
    <t xml:space="preserve">Forced to leave congressional committees, resigned (07/01/2020), and sentenced to 21 months in prison (17/03/2020). </t>
  </si>
  <si>
    <t>Resigned as chairwoman of the Black Caucus Foundation.</t>
  </si>
  <si>
    <t>Ethics investigation, investigation by the Florida Bar.</t>
  </si>
  <si>
    <t>Resigned (27/10/2010), effective 03/11/2019.</t>
  </si>
  <si>
    <t>On March 22, it was announced that Sisisky underwent surgery to remove two cancerous growths. A written statement issued by his office stated that the growth was removed completely, that the cancer had not spread, and that Sisisky was expected to make a full recovery. He was released from the hospital on March 28 but passed away on March 30.</t>
  </si>
  <si>
    <t>Spence died from complications following brain surgery, for which he was first admitted to the hospital in July 2001. The surgery took place on August 10, 2001. Spence has a history of hospital treatments. In 1988, he received a double lung transplant, and in May 2000, he received a kidney transplant (but recovered). He was reelected after receiving a kidney transplant. The 2000 congressional elections took place on November 7, 2000.</t>
  </si>
  <si>
    <t>Mink was hospitalized on September 6, 2002, with viral pneumonia from chicken pox. Newspaper articles described her condition as serious. She passed away at the end of the month, at the age of 74.</t>
  </si>
  <si>
    <t>Matsui died from complications from a rare type of cancer. The disease was discovered earlier but not announced. The Associated Press wrote, "[Matsui's] office disclosed that the congressman had been diagnosed several months ago [...] [his] family said he entered the hospital on Dec. 24 with pneumonia." Hence, the news is sudden.</t>
  </si>
  <si>
    <t>Millender-McDonald passed away from colon cancer on April 22 at the age of 68. On April 18, it was announced that she would take 4–6 weeks of leave due to the cancer. There was an announcement of surgery on May 19, 2005 ("Panel Postpones Action On Campaign Finance Bill" National Journal's CongressDaily) and some further newspaper articles on the surgery. The reason for the surgery remained undisclosed (see City News Service, May 30, "Congresswoman Surgery"). Millender-McDonald was reelected to California's 37th congressional district on November 7, 2006.</t>
  </si>
  <si>
    <t xml:space="preserve">Gillmor was found dead in his apartment at the age of 68. It was later revealed that he died from head and neck trauma, likely due to an accident at home. </t>
  </si>
  <si>
    <t>Davis announced on September 29, 2005, that she had been diagnosed with breast cancer (The Associated Press quotes Davis: "This stage of breast cancer that I have been diagnosed with is in a very treatable form"). She had "no evidence of disease" after surgery and was reelected in 2006. On March 6, 2007, she announced that her breast cancer had re-occurred. She passed away on October 6, 2007, at the age of 57.</t>
  </si>
  <si>
    <t>On January 3, 1997, a vein from Carson's leg was removed for a double bypass heart surgery. On December 17, 1999, she was hospitalized with pneumonia. On June 20, she took a leave of absence for routine medical tests. On July 13, 2004, the Associated Press published that Carson had missed multiple votes because of feeling ill and tired. She was reelected in 2004 and in 2006. On September 28, 2007, The Associated Press announced that Carson was hospitalized with a leg infection near the area where the vein was removed in 1995. She was moved to a rehabilitation center on October 4, 2007. On October 15, newspapers wrote that it was unclear whether Carson would return to Congress (and later, whether she would seek reelection). On November 25, Carson announced that she had terminal lung cancer and that this was diagnosed around the time of the leg infection. She also disclosed that she was diagnosed with lung cancer "years before", but she did not disclose the date of the initial diagnosis (The Associated Press State &amp; Local Wire, November 25, 2007, "Rep. Carson says she has terminal lung cancer"). Carson also announced her retirement at that time. She passed away on December 15, 2007, at the age of 69.</t>
  </si>
  <si>
    <t>Tubbs Jones suffered a hemorrhagic stroke on August 19, 2008, while driving a car, caused by an aneurysm. She passed away one day later.</t>
  </si>
  <si>
    <t>Murtha was hospitalized on December 14, 2009, with abdominal pains related to his gall bladder. He was released from the hospital on December 17. On February 2, CNN reported that Murtha was in intensive care after having laparoscopic surgery to remove his gallblader, which led to complications. He passed away on February 8 at the age of 77.</t>
  </si>
  <si>
    <t>Young hurt his hip and back in earlier incidents, which caused some rumors about his reelection considerations in March 2013 (see Newstex Blogs, March 1, 2013, "Congressman Bill Young insists, "I'm not crippled"). On October 9, 2013, he announced his retirement and informed the press that he was in the hospital recovering from surgery for an old back injury. On October 18, news broke that Young was "gravely ill". He passed away the same day, at the age of 82.</t>
  </si>
  <si>
    <t>On May 8, 2014, Nunnelee stated that he was hospitalized after experiencing nausea and fatigue. He was released from the hospital on May 9. He also announced that he would need surgery to remove a small mass discovered in his brain. The surgery took place on June 9. While the surgery was successful, news reported on June 12 that it had affected his speech and mobility. On June 30, it was announced that Nunnelee would start chemotherapy and radiation. On August 11, he revealed that he had suffered a stroke during the surgery, which caused speech and mobility impairment. He was reelected On November 2, 2014. On January 5, after his reelection, Nunnelee was again hospitalized. He took his oath for the 114th Congress while in the hospital. On January 30, a new tumor was discovered for which no further treatment was possible. Nunnelee was moved to hospice care and passed away on February 6.</t>
  </si>
  <si>
    <t>Slaughter fell at home and was taken to the hospital at the age of 88. While this was in the news earlier, her chief of staff communicated that Slaughter's condition was not severe. UPI reported on March 14: "Liam Fitzsimmons, Slaughter's chief of staff, said the 88-year-old lawmaker "did not suffer any fractures or broken bones and is receiving excellent care from the world-class medical staff at [University Hospital]."</t>
  </si>
  <si>
    <t>Cummings was known to have lived with cancer for 25 years. Cancer was not named as a cause of death. There is no newspaper announcement of his cancer disease, but in 2017, there was an announcement that Cummings was in the hospital for a "minimally invasive procedure". On January 5, 2018, he was again hospitalized for a bacterial infection in his knee (CNN Wire).</t>
  </si>
  <si>
    <t>On July 16 (Sunday), Coverdell was admitted to the hospital with headaches. Newspaper articles reported about this on July 17, 2000. Doctors detected a cerebral hemorrhage. Coverdell underwent emergency surgery on Monday morning and remained in critical condition. He passed away one day later, on July 18, at the age of 61.</t>
  </si>
  <si>
    <t>On November 6, The Associated Press reported that Thomas was taken to the hospital with pneumonia, but was released shortly after. On November 7, it was reported that he would have additional tests at a Medical Center in Washington. He was reelected on November 8, 2006. On November 9, it was announced that Thomas was diagnosed with leukemia. He returned to work despite the cancer treatments. He passed away from Leukemia on June 4, 2007, at the age 74.</t>
  </si>
  <si>
    <t>On May 20, 2008, news broke that Ted Kennedy had been diagnosed with a malignant brain tumor after suffering a seizure during the weekend. Newspapers reported a poor outlook (tumor inoperable, almost certainly fatal [Associated Press Online, May 21, 2008, "Sen. Kennedy's family reeling after grim diagnosis"]). A biopsy revealed that the tumor was a malignant glioma with a low survival expectancy. Kennedy successfully underwent surgery to remove the tumor on June 2. He also received chemotherapy and radiation. On January 21, 2009, he suffered another seizure. On May 19, 2009, it was announced that Kennedy was in remission. Between his diagnosis and his passing on August 26, 2009, he continued to take part in public political life and, to a limited extent, returned to office.</t>
  </si>
  <si>
    <t>Byrd was admitted to the hospital after falling at home (his most recent reelection took place in 2006). He was released from the hospital but readmitted on March 5 for tests after a reaction to antibiotics taken for a urinary tract infection (Deseret Morning News, March 6, 2008, "West Virginia's Sen. Byrd is hospitalized for tests"). He returned to Capitol Hill shortly after. Until his passing on June 28, 2010, he was hospitalized several more times. He did not retire.</t>
  </si>
  <si>
    <t>Inouye fell on November 15, 2012, and injured his head. He was taken to the hospital as a precaution but released the same day. On December 10, 2012, he was again in the hospital due to problems with his oxygen intake. He remained in the hospital until his death. He died at the age of 88.</t>
  </si>
  <si>
    <t>On July 14, 2017, McCain was hospitalized after a routine discovered a blood clot behind his left eye. The blot clot was successfully removed via craniectomy, but Main Online reported that it could be a sign of something more serious. On July 19, it was revealed that McCain had been diagnosed with an "aggressive form of brain cancer" (Business Insider US, July 19, 2017, "'A hero to our country': Bipartisan support pours in after John McCain's brain tumor diagnosis") (glioblastoma). McCain remained in office while receiving treatment. On August 24, 2018, his family announced that McCain had chosen to discontinue the medical treatment. He passed away one day later.</t>
  </si>
  <si>
    <t>Vento announced on February 2, 2000, that he would not run for reelection due to a cancer diagnosis (malignant mesothelioma). He completed cancer and radiation treatment and was NED (no evidence of disease) in August 2000, returning to Congress afterward. On September 19, 2000, it was announced that the cancer had recurred and spread. He passed away on October 10, 2000.</t>
  </si>
  <si>
    <t>On February 12, 2001, Moakley announced that he would not run for reelection because of a terminal cancer diagnosis (myelodysplastic syndrome/ a form of leukemia). He was quoted saying that he did not plan to take time off before his retirement (BC cycle, April 15, 2001, "Joe Moakley, beloved old-school congressman, battles leukemia). He passed away on May 28, 2001, at the age of 74.</t>
  </si>
  <si>
    <t xml:space="preserve">On October 27, 2015, Takai announced that he would undergo treatment for a tumor in his pancreas. He said that his tumor was early detected and that he was likely to make a quick and full recovery. Initially, Takai wanted to run for re-election. However, on May 19, he announced that his cancer had spread and that he would not seek reelection. He passed away on October 27 at the age of 49. </t>
  </si>
  <si>
    <t>On December 17, 2018, the Associated Press announced that Jones would miss the remainder of the current congressional term due to illness. On January 16, 2019, Congressional Documents and Publications reported that Jones had broken his hip during a fall at home and underwent surgery. On January 26, it was revealed that Jones entered hospice care. He died on February 11 at the age of 76. Newspapers disclosed that he had battled a long term illness for multiple months, but the exact disease remained undisclosed.</t>
  </si>
  <si>
    <t>Bateman's last re-election was on November 3, 1998. Before that, Bateman experienced multiple health issues, such as a mild heart attack in 1995. He also reportedly survived lung cancer and prostate cancer. On November 20, 1999, it was announced that Bateman had surgery to remove plaque in his carotid artery. On January 3, 2000, he announced his intention to retire due to ongoing health problems. He passed away at the age of 72 in his sleep.</t>
  </si>
  <si>
    <t>Lautenberg's last re-election took place on November 4, 2008. On February 15, 2010, Lautenberg was taken to the hospital after suffering a fall. He was the second-oldest member of the US Senate at the time. While recovering from the fall, he was diagnosed with lymphoma in the stomach. This news was released on February 19, 2010. Lautenberg received chemotherapy while continuing to work. On February 15, 2013, the media reported that Lautenberg announced his retirement. He died on June 3, 2013, from complications with viral pneumonia, at the age of 89.</t>
  </si>
  <si>
    <t>Rivera placed ‘puppet candidate’ Justin Lamar Sternad in the Democratic primary to defeat Democrat Joe Garcia. Sternad was supposed to hurt Garcia’s reputation. The connection eventually came to light because Sternad spent amounts of money he could not possibly own. Rivera pled not guilty and was not convicted. However, his campaign manager was sentenced to six months in jail, house arrest, and a probationary period. Note that speculations about the case started on August 16, 2012, when Sternad spent an amount of money that he could not own. Evidence followed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</si>
</sst>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409]mmmm\ d\,\ yyyy;@"/>
    <numFmt numFmtId="165" formatCode="d/mm/yyyy;@"/>
    <numFmt numFmtId="166" formatCode="dd/mm/yyyy;@"/>
  </numFmts>
  <fonts count="19">
    <font>
      <sz val="11"/>
      <name val="Calibri"/>
    </font>
    <font>
      <sz val="11"/>
      <name val="Calibri"/>
      <family val="2"/>
    </font>
    <font>
      <b/>
      <sz val="11"/>
      <name val="Calibri"/>
      <family val="2"/>
    </font>
    <font>
      <sz val="11"/>
      <color theme="1"/>
      <name val="Calibri"/>
      <family val="2"/>
    </font>
    <font>
      <sz val="11"/>
      <color theme="1"/>
      <name val="Calibri (Body)_x0000_"/>
    </font>
    <font>
      <sz val="11"/>
      <name val="Calibri"/>
      <family val="2"/>
      <scheme val="minor"/>
    </font>
    <font>
      <sz val="11"/>
      <color rgb="FF000000"/>
      <name val="Calibri"/>
      <family val="2"/>
      <scheme val="minor"/>
    </font>
    <font>
      <sz val="11"/>
      <color rgb="FFFF0000"/>
      <name val="Calibri"/>
      <family val="2"/>
      <scheme val="minor"/>
    </font>
    <font>
      <i/>
      <sz val="11"/>
      <color theme="1"/>
      <name val="Calibri"/>
      <family val="2"/>
      <scheme val="minor"/>
    </font>
    <font>
      <sz val="10"/>
      <name val="Arial"/>
      <family val="2"/>
    </font>
    <font>
      <sz val="11"/>
      <name val="Calibri (Body)_x0000_"/>
    </font>
    <font>
      <sz val="12"/>
      <color rgb="FF000000"/>
      <name val="Calibri"/>
      <family val="2"/>
    </font>
    <font>
      <sz val="12"/>
      <color theme="1"/>
      <name val="Calibri"/>
      <family val="2"/>
    </font>
    <font>
      <u/>
      <sz val="11"/>
      <color theme="10"/>
      <name val="Calibri"/>
      <family val="2"/>
    </font>
    <font>
      <b/>
      <sz val="11"/>
      <name val="Calibri (Body)_x0000_"/>
    </font>
    <font>
      <b/>
      <sz val="11"/>
      <color theme="1"/>
      <name val="Calibri (Body)_x0000_"/>
    </font>
    <font>
      <sz val="11"/>
      <name val="Arial"/>
      <family val="2"/>
    </font>
    <font>
      <sz val="11"/>
      <color theme="1"/>
      <name val="Calibri"/>
      <family val="2"/>
      <scheme val="minor"/>
    </font>
    <font>
      <sz val="11"/>
      <name val="Calibri (Body)"/>
    </font>
  </fonts>
  <fills count="2">
    <fill>
      <patternFill patternType="none"/>
    </fill>
    <fill>
      <patternFill patternType="gray125"/>
    </fill>
  </fills>
  <borders count="5">
    <border>
      <left/>
      <right/>
      <top/>
      <bottom/>
      <diagonal/>
    </border>
    <border>
      <left/>
      <right/>
      <top/>
      <bottom/>
      <diagonal/>
    </border>
    <border>
      <left/>
      <right/>
      <top/>
      <bottom/>
      <diagonal/>
    </border>
    <border>
      <left/>
      <right/>
      <top/>
      <bottom style="thin">
        <color indexed="64"/>
      </bottom>
      <diagonal/>
    </border>
    <border>
      <left/>
      <right/>
      <top/>
      <bottom style="thin">
        <color theme="0" tint="-0.499984740745262"/>
      </bottom>
      <diagonal/>
    </border>
  </borders>
  <cellStyleXfs count="4">
    <xf numFmtId="0" fontId="0" fillId="0" borderId="0"/>
    <xf numFmtId="0" fontId="1" fillId="0" borderId="2"/>
    <xf numFmtId="44" fontId="1" fillId="0" borderId="2" applyFont="0" applyFill="0" applyBorder="0" applyAlignment="0" applyProtection="0"/>
    <xf numFmtId="0" fontId="13" fillId="0" borderId="0" applyNumberFormat="0" applyFill="0" applyBorder="0" applyAlignment="0" applyProtection="0"/>
  </cellStyleXfs>
  <cellXfs count="95">
    <xf numFmtId="0" fontId="0" fillId="0" borderId="0" xfId="0"/>
    <xf numFmtId="0" fontId="1" fillId="0" borderId="0" xfId="0" applyFont="1" applyAlignment="1">
      <alignment wrapText="1"/>
    </xf>
    <xf numFmtId="14" fontId="1" fillId="0" borderId="0" xfId="0" applyNumberFormat="1" applyFont="1" applyAlignment="1">
      <alignment wrapText="1"/>
    </xf>
    <xf numFmtId="0" fontId="1" fillId="0" borderId="0" xfId="0" applyFont="1"/>
    <xf numFmtId="14" fontId="1" fillId="0" borderId="2" xfId="0" applyNumberFormat="1" applyFont="1" applyBorder="1"/>
    <xf numFmtId="0" fontId="5" fillId="0" borderId="2" xfId="1" applyFont="1" applyAlignment="1">
      <alignment horizontal="left"/>
    </xf>
    <xf numFmtId="0" fontId="1" fillId="0" borderId="2" xfId="1" applyAlignment="1">
      <alignment horizontal="left"/>
    </xf>
    <xf numFmtId="0" fontId="1" fillId="0" borderId="2" xfId="1"/>
    <xf numFmtId="0" fontId="5" fillId="0" borderId="2" xfId="1" applyFont="1" applyAlignment="1">
      <alignment horizontal="right"/>
    </xf>
    <xf numFmtId="0" fontId="7" fillId="0" borderId="2" xfId="1" applyFont="1" applyAlignment="1">
      <alignment horizontal="left"/>
    </xf>
    <xf numFmtId="0" fontId="8" fillId="0" borderId="2" xfId="1" applyFont="1" applyAlignment="1">
      <alignment horizontal="left"/>
    </xf>
    <xf numFmtId="0" fontId="1" fillId="0" borderId="2" xfId="1" applyAlignment="1">
      <alignment horizontal="left" wrapText="1"/>
    </xf>
    <xf numFmtId="0" fontId="0" fillId="0" borderId="0" xfId="0" applyAlignment="1">
      <alignment horizontal="center"/>
    </xf>
    <xf numFmtId="0" fontId="5" fillId="0" borderId="0" xfId="1" applyFont="1" applyBorder="1" applyAlignment="1">
      <alignment horizontal="left"/>
    </xf>
    <xf numFmtId="0" fontId="1" fillId="0" borderId="0" xfId="1" applyBorder="1" applyAlignment="1">
      <alignment horizontal="left"/>
    </xf>
    <xf numFmtId="0" fontId="0" fillId="0" borderId="0" xfId="0" applyAlignment="1">
      <alignment horizontal="left"/>
    </xf>
    <xf numFmtId="14" fontId="0" fillId="0" borderId="0" xfId="0" applyNumberFormat="1"/>
    <xf numFmtId="0" fontId="13" fillId="0" borderId="0" xfId="3"/>
    <xf numFmtId="0" fontId="10" fillId="0" borderId="0" xfId="0" applyFont="1"/>
    <xf numFmtId="0" fontId="16" fillId="0" borderId="2" xfId="1" applyFont="1"/>
    <xf numFmtId="0" fontId="1" fillId="0" borderId="0" xfId="1" applyBorder="1"/>
    <xf numFmtId="0" fontId="3" fillId="0" borderId="0" xfId="0" applyFont="1"/>
    <xf numFmtId="0" fontId="1" fillId="0" borderId="2" xfId="0" applyFont="1" applyBorder="1"/>
    <xf numFmtId="0" fontId="9" fillId="0" borderId="0" xfId="0" applyFont="1"/>
    <xf numFmtId="0" fontId="5" fillId="0" borderId="0" xfId="0" applyFont="1" applyAlignment="1">
      <alignment horizontal="left"/>
    </xf>
    <xf numFmtId="164" fontId="5" fillId="0" borderId="0" xfId="0" applyNumberFormat="1" applyFont="1" applyAlignment="1">
      <alignment horizontal="left"/>
    </xf>
    <xf numFmtId="0" fontId="5" fillId="0" borderId="0" xfId="0" applyFont="1"/>
    <xf numFmtId="0" fontId="1" fillId="0" borderId="0" xfId="0" applyFont="1" applyAlignment="1">
      <alignment horizontal="left"/>
    </xf>
    <xf numFmtId="164" fontId="1" fillId="0" borderId="0" xfId="0" applyNumberFormat="1" applyFont="1" applyAlignment="1">
      <alignment horizontal="left"/>
    </xf>
    <xf numFmtId="164" fontId="17" fillId="0" borderId="0" xfId="0" applyNumberFormat="1" applyFont="1" applyAlignment="1">
      <alignment horizontal="left"/>
    </xf>
    <xf numFmtId="14" fontId="1" fillId="0" borderId="0" xfId="0" applyNumberFormat="1" applyFont="1"/>
    <xf numFmtId="14" fontId="1" fillId="0" borderId="0" xfId="0" applyNumberFormat="1" applyFont="1" applyAlignment="1">
      <alignment horizontal="right"/>
    </xf>
    <xf numFmtId="14" fontId="5" fillId="0" borderId="0" xfId="0" applyNumberFormat="1" applyFont="1" applyAlignment="1">
      <alignment horizontal="right"/>
    </xf>
    <xf numFmtId="14" fontId="1" fillId="0" borderId="0" xfId="0" applyNumberFormat="1" applyFont="1" applyAlignment="1">
      <alignment horizontal="left"/>
    </xf>
    <xf numFmtId="14" fontId="5" fillId="0" borderId="2" xfId="1" applyNumberFormat="1" applyFont="1" applyAlignment="1">
      <alignment horizontal="left"/>
    </xf>
    <xf numFmtId="14" fontId="1" fillId="0" borderId="2" xfId="1" applyNumberFormat="1" applyAlignment="1">
      <alignment horizontal="left"/>
    </xf>
    <xf numFmtId="14" fontId="6" fillId="0" borderId="2" xfId="1" applyNumberFormat="1" applyFont="1" applyAlignment="1">
      <alignment horizontal="left"/>
    </xf>
    <xf numFmtId="0" fontId="1" fillId="0" borderId="2" xfId="0" applyFont="1" applyBorder="1" applyAlignment="1">
      <alignment horizontal="left"/>
    </xf>
    <xf numFmtId="1" fontId="1" fillId="0" borderId="2" xfId="0" applyNumberFormat="1" applyFont="1" applyBorder="1"/>
    <xf numFmtId="0" fontId="12" fillId="0" borderId="0" xfId="0" applyFont="1"/>
    <xf numFmtId="166" fontId="1" fillId="0" borderId="0" xfId="0" applyNumberFormat="1" applyFont="1"/>
    <xf numFmtId="14" fontId="10" fillId="0" borderId="0" xfId="0" applyNumberFormat="1" applyFont="1"/>
    <xf numFmtId="0" fontId="17" fillId="0" borderId="0" xfId="0" applyFont="1"/>
    <xf numFmtId="0" fontId="10" fillId="0" borderId="0" xfId="0" applyFont="1" applyAlignment="1">
      <alignment horizontal="right"/>
    </xf>
    <xf numFmtId="14" fontId="3" fillId="0" borderId="0" xfId="0" applyNumberFormat="1" applyFont="1"/>
    <xf numFmtId="0" fontId="10" fillId="0" borderId="0" xfId="0" applyFont="1" applyAlignment="1">
      <alignment horizontal="left"/>
    </xf>
    <xf numFmtId="0" fontId="17" fillId="0" borderId="0" xfId="0" applyFont="1" applyAlignment="1">
      <alignment horizontal="right"/>
    </xf>
    <xf numFmtId="0" fontId="17" fillId="0" borderId="0" xfId="0" applyFont="1" applyAlignment="1">
      <alignment horizontal="left"/>
    </xf>
    <xf numFmtId="0" fontId="4" fillId="0" borderId="0" xfId="0" applyFont="1"/>
    <xf numFmtId="0" fontId="3" fillId="0" borderId="2" xfId="0" applyFont="1" applyBorder="1"/>
    <xf numFmtId="14" fontId="1" fillId="0" borderId="2" xfId="0" applyNumberFormat="1" applyFont="1" applyBorder="1" applyAlignment="1">
      <alignment wrapText="1"/>
    </xf>
    <xf numFmtId="14" fontId="5" fillId="0" borderId="0" xfId="1" applyNumberFormat="1" applyFont="1" applyBorder="1" applyAlignment="1">
      <alignment horizontal="left"/>
    </xf>
    <xf numFmtId="0" fontId="16" fillId="0" borderId="0" xfId="1" applyFont="1" applyBorder="1"/>
    <xf numFmtId="0" fontId="18" fillId="0" borderId="2" xfId="0" applyFont="1" applyBorder="1"/>
    <xf numFmtId="14" fontId="10" fillId="0" borderId="0" xfId="0" applyNumberFormat="1" applyFont="1" applyAlignment="1">
      <alignment horizontal="right"/>
    </xf>
    <xf numFmtId="14" fontId="17" fillId="0" borderId="0" xfId="0" applyNumberFormat="1" applyFont="1" applyAlignment="1">
      <alignment horizontal="right"/>
    </xf>
    <xf numFmtId="14" fontId="0" fillId="0" borderId="0" xfId="0" applyNumberFormat="1" applyAlignment="1">
      <alignment horizontal="right"/>
    </xf>
    <xf numFmtId="0" fontId="11" fillId="0" borderId="0" xfId="0" applyFont="1" applyAlignment="1">
      <alignment horizontal="center"/>
    </xf>
    <xf numFmtId="0" fontId="0" fillId="0" borderId="2" xfId="0" applyBorder="1" applyAlignment="1">
      <alignment horizontal="center"/>
    </xf>
    <xf numFmtId="1" fontId="0" fillId="0" borderId="1" xfId="0" applyNumberFormat="1" applyBorder="1"/>
    <xf numFmtId="14" fontId="0" fillId="0" borderId="2" xfId="0" applyNumberFormat="1" applyBorder="1"/>
    <xf numFmtId="0" fontId="1" fillId="0" borderId="0" xfId="0" applyFont="1" applyAlignment="1">
      <alignment vertical="top"/>
    </xf>
    <xf numFmtId="0" fontId="3" fillId="0" borderId="0" xfId="0" applyFont="1" applyAlignment="1">
      <alignment vertical="top"/>
    </xf>
    <xf numFmtId="0" fontId="0" fillId="0" borderId="2" xfId="0" applyBorder="1"/>
    <xf numFmtId="14" fontId="1" fillId="0" borderId="2" xfId="1" applyNumberFormat="1"/>
    <xf numFmtId="0" fontId="1" fillId="0" borderId="2" xfId="0" applyFont="1" applyBorder="1" applyAlignment="1">
      <alignment vertical="top"/>
    </xf>
    <xf numFmtId="1" fontId="3" fillId="0" borderId="1" xfId="0" applyNumberFormat="1" applyFont="1" applyBorder="1"/>
    <xf numFmtId="14" fontId="3" fillId="0" borderId="2" xfId="0" applyNumberFormat="1" applyFont="1" applyBorder="1"/>
    <xf numFmtId="0" fontId="3" fillId="0" borderId="0" xfId="1" applyFont="1" applyBorder="1" applyAlignment="1">
      <alignment vertical="top"/>
    </xf>
    <xf numFmtId="0" fontId="3" fillId="0" borderId="0" xfId="0" applyFont="1" applyAlignment="1">
      <alignment horizontal="left"/>
    </xf>
    <xf numFmtId="165" fontId="0" fillId="0" borderId="2" xfId="0" applyNumberFormat="1" applyBorder="1"/>
    <xf numFmtId="0" fontId="0" fillId="0" borderId="1" xfId="0" applyBorder="1"/>
    <xf numFmtId="1" fontId="0" fillId="0" borderId="2" xfId="0" applyNumberFormat="1" applyBorder="1"/>
    <xf numFmtId="1" fontId="0" fillId="0" borderId="0" xfId="0" applyNumberFormat="1"/>
    <xf numFmtId="14" fontId="1" fillId="0" borderId="0" xfId="0" applyNumberFormat="1" applyFont="1" applyAlignment="1">
      <alignment vertical="top"/>
    </xf>
    <xf numFmtId="0" fontId="0" fillId="0" borderId="0" xfId="0" applyAlignment="1">
      <alignment vertical="top"/>
    </xf>
    <xf numFmtId="0" fontId="1" fillId="0" borderId="0" xfId="1" applyBorder="1" applyAlignment="1">
      <alignment vertical="top"/>
    </xf>
    <xf numFmtId="0" fontId="11" fillId="0" borderId="2" xfId="0" applyFont="1" applyBorder="1" applyAlignment="1">
      <alignment horizontal="center"/>
    </xf>
    <xf numFmtId="0" fontId="14" fillId="0" borderId="3" xfId="0" applyFont="1" applyFill="1" applyBorder="1" applyAlignment="1">
      <alignment horizontal="left"/>
    </xf>
    <xf numFmtId="14" fontId="14" fillId="0" borderId="3" xfId="0" applyNumberFormat="1" applyFont="1" applyFill="1" applyBorder="1" applyAlignment="1">
      <alignment horizontal="left"/>
    </xf>
    <xf numFmtId="0" fontId="15" fillId="0" borderId="3" xfId="0" applyFont="1" applyFill="1" applyBorder="1" applyAlignment="1">
      <alignment horizontal="left"/>
    </xf>
    <xf numFmtId="0" fontId="14" fillId="0" borderId="0" xfId="0" applyFont="1" applyFill="1" applyAlignment="1">
      <alignment horizontal="left"/>
    </xf>
    <xf numFmtId="166" fontId="2" fillId="0" borderId="3" xfId="1" applyNumberFormat="1" applyFont="1" applyFill="1" applyBorder="1"/>
    <xf numFmtId="0" fontId="2" fillId="0" borderId="3" xfId="1" applyFont="1" applyFill="1" applyBorder="1"/>
    <xf numFmtId="14" fontId="2" fillId="0" borderId="3" xfId="1" applyNumberFormat="1" applyFont="1" applyFill="1" applyBorder="1"/>
    <xf numFmtId="0" fontId="2" fillId="0" borderId="3" xfId="1" applyFont="1" applyFill="1" applyBorder="1" applyAlignment="1">
      <alignment wrapText="1"/>
    </xf>
    <xf numFmtId="0" fontId="2" fillId="0" borderId="3" xfId="0" applyFont="1" applyFill="1" applyBorder="1"/>
    <xf numFmtId="0" fontId="2" fillId="0" borderId="3" xfId="0" applyFont="1" applyFill="1" applyBorder="1" applyAlignment="1">
      <alignment horizontal="left"/>
    </xf>
    <xf numFmtId="0" fontId="2" fillId="0" borderId="0" xfId="0" applyFont="1" applyFill="1"/>
    <xf numFmtId="14" fontId="2" fillId="0" borderId="3" xfId="0" applyNumberFormat="1" applyFont="1" applyFill="1" applyBorder="1"/>
    <xf numFmtId="0" fontId="2" fillId="0" borderId="4" xfId="0" applyFont="1" applyFill="1" applyBorder="1"/>
    <xf numFmtId="0" fontId="0" fillId="0" borderId="0" xfId="0" applyFill="1"/>
    <xf numFmtId="14" fontId="2" fillId="0" borderId="4" xfId="0" applyNumberFormat="1" applyFont="1" applyFill="1" applyBorder="1" applyAlignment="1">
      <alignment horizontal="left"/>
    </xf>
    <xf numFmtId="0" fontId="1" fillId="0" borderId="0" xfId="0" applyFont="1" applyFill="1"/>
    <xf numFmtId="14" fontId="2" fillId="0" borderId="4" xfId="0" applyNumberFormat="1" applyFont="1" applyFill="1" applyBorder="1"/>
  </cellXfs>
  <cellStyles count="4">
    <cellStyle name="Currency 2" xfId="2" xr:uid="{5866373F-D0F9-9B43-A5E7-EC6C52EB30C5}"/>
    <cellStyle name="Hyperlink" xfId="3" builtinId="8"/>
    <cellStyle name="Normal" xfId="0" builtinId="0"/>
    <cellStyle name="Normal 2" xfId="1" xr:uid="{0D05BFB6-356E-FE4D-B925-92159CBB3E47}"/>
  </cellStyles>
  <dxfs count="19">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9C0006"/>
      </font>
      <fill>
        <patternFill>
          <bgColor rgb="FFFFC7CE"/>
        </patternFill>
      </fill>
    </dxf>
    <dxf>
      <font>
        <color rgb="FF9C0006"/>
      </font>
      <fill>
        <patternFill>
          <bgColor rgb="FFFFC7CE"/>
        </patternFill>
      </fill>
    </dxf>
    <dxf>
      <fill>
        <patternFill>
          <bgColor theme="0" tint="-4.9989318521683403E-2"/>
        </patternFill>
      </fill>
    </dxf>
  </dxfs>
  <tableStyles count="0" defaultTableStyle="TableStyleMedium2" defaultPivotStyle="PivotStyleLight16"/>
  <colors>
    <mruColors>
      <color rgb="FFEDACAB"/>
      <color rgb="FFF9F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8" Type="http://schemas.openxmlformats.org/officeDocument/2006/relationships/hyperlink" Target="https://www.fec.gov/updates/contribution-limits-for-2005-2006/" TargetMode="External"/><Relationship Id="rId3" Type="http://schemas.openxmlformats.org/officeDocument/2006/relationships/hyperlink" Target="https://www.fec.gov/updates/contribution-limits-for-2015-2016/" TargetMode="External"/><Relationship Id="rId7" Type="http://schemas.openxmlformats.org/officeDocument/2006/relationships/hyperlink" Target="https://www.fec.gov/updates/fec-announces-updated-contribution-limits/" TargetMode="External"/><Relationship Id="rId2" Type="http://schemas.openxmlformats.org/officeDocument/2006/relationships/hyperlink" Target="https://www.fec.gov/updates/contribution-limits-2017-2018/" TargetMode="External"/><Relationship Id="rId1" Type="http://schemas.openxmlformats.org/officeDocument/2006/relationships/hyperlink" Target="https://www.fec.gov/updates/contribution-limits-2019-2020/" TargetMode="External"/><Relationship Id="rId6" Type="http://schemas.openxmlformats.org/officeDocument/2006/relationships/hyperlink" Target="https://www.fec.gov/updates/contribution-limits-for-2009-2010/" TargetMode="External"/><Relationship Id="rId5" Type="http://schemas.openxmlformats.org/officeDocument/2006/relationships/hyperlink" Target="https://www.fec.gov/updates/contribution-limits-for-2011-2012/" TargetMode="External"/><Relationship Id="rId4" Type="http://schemas.openxmlformats.org/officeDocument/2006/relationships/hyperlink" Target="https://www.fec.gov/updates/contribution-limits-2013-2014/" TargetMode="External"/><Relationship Id="rId9" Type="http://schemas.openxmlformats.org/officeDocument/2006/relationships/hyperlink" Target="https://www.opensecrets.org/overview/limits.php?cycle=2004"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fec.gov/help-candidates-and-committees/dates-and-deadlines/2019-reporting-dates/2019-quarterly-filers/" TargetMode="External"/><Relationship Id="rId2" Type="http://schemas.openxmlformats.org/officeDocument/2006/relationships/hyperlink" Target="https://www.fec.gov/help-candidates-and-committees/dates-and-deadlines/2019-reporting-dates/2019-quarterly-filers/" TargetMode="External"/><Relationship Id="rId1" Type="http://schemas.openxmlformats.org/officeDocument/2006/relationships/hyperlink" Target="https://www.fec.gov/help-candidates-and-committees/dates-and-deadlines/2019-reporting-dates/2019-quarterly-filers/" TargetMode="External"/><Relationship Id="rId4" Type="http://schemas.openxmlformats.org/officeDocument/2006/relationships/hyperlink" Target="https://www.fec.gov/help-candidates-and-committees/dates-and-deadlines/2019-reporting-dates/2019-quarterly-fil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219"/>
  <sheetViews>
    <sheetView tabSelected="1" zoomScaleNormal="100" workbookViewId="0">
      <pane ySplit="1" topLeftCell="A2" activePane="bottomLeft" state="frozen"/>
      <selection activeCell="D1" sqref="D1"/>
      <selection pane="bottomLeft" activeCell="I26" sqref="I26"/>
    </sheetView>
  </sheetViews>
  <sheetFormatPr baseColWidth="10" defaultColWidth="8.83203125" defaultRowHeight="15"/>
  <cols>
    <col min="1" max="6" width="10.83203125" customWidth="1"/>
    <col min="7" max="7" width="46.5" style="75" customWidth="1"/>
    <col min="8" max="9" width="10.6640625" customWidth="1"/>
    <col min="10" max="10" width="28.1640625" customWidth="1"/>
    <col min="11" max="12" width="10.6640625" customWidth="1"/>
    <col min="13" max="13" width="27" style="15" customWidth="1"/>
    <col min="14" max="14" width="10.6640625" style="15" customWidth="1"/>
    <col min="15" max="16" width="10.6640625" customWidth="1"/>
  </cols>
  <sheetData>
    <row r="1" spans="1:16" s="88" customFormat="1">
      <c r="A1" s="86" t="s">
        <v>0</v>
      </c>
      <c r="B1" s="86" t="s">
        <v>1</v>
      </c>
      <c r="C1" s="86" t="s">
        <v>140</v>
      </c>
      <c r="D1" s="82" t="s">
        <v>694</v>
      </c>
      <c r="E1" s="82" t="s">
        <v>1115</v>
      </c>
      <c r="F1" s="86" t="s">
        <v>735</v>
      </c>
      <c r="G1" s="86" t="s">
        <v>1334</v>
      </c>
      <c r="H1" s="80" t="s">
        <v>1342</v>
      </c>
      <c r="I1" s="80" t="s">
        <v>1343</v>
      </c>
      <c r="J1" s="86" t="s">
        <v>188</v>
      </c>
      <c r="K1" s="86" t="s">
        <v>144</v>
      </c>
      <c r="L1" s="86" t="s">
        <v>1236</v>
      </c>
      <c r="M1" s="87" t="s">
        <v>178</v>
      </c>
      <c r="N1" s="87" t="s">
        <v>1346</v>
      </c>
      <c r="O1" s="86" t="s">
        <v>180</v>
      </c>
      <c r="P1" s="86" t="s">
        <v>183</v>
      </c>
    </row>
    <row r="2" spans="1:16">
      <c r="A2" s="59">
        <v>106</v>
      </c>
      <c r="B2" s="3" t="s">
        <v>50</v>
      </c>
      <c r="C2" t="s">
        <v>141</v>
      </c>
      <c r="D2" s="60">
        <v>36554</v>
      </c>
      <c r="E2" s="60">
        <v>36579</v>
      </c>
      <c r="F2" s="60" t="str">
        <f t="shared" ref="F2:F65" si="0">TEXT(D2,"dddd")</f>
        <v>Saturday</v>
      </c>
      <c r="G2" s="61" t="s">
        <v>1356</v>
      </c>
      <c r="H2" s="12">
        <v>2</v>
      </c>
      <c r="I2" s="12">
        <v>7</v>
      </c>
      <c r="J2" t="s">
        <v>146</v>
      </c>
      <c r="K2" s="3" t="s">
        <v>741</v>
      </c>
      <c r="L2" s="3" t="s">
        <v>190</v>
      </c>
      <c r="M2" s="27" t="s">
        <v>1550</v>
      </c>
      <c r="N2" s="27" t="s">
        <v>190</v>
      </c>
      <c r="O2" t="s">
        <v>182</v>
      </c>
      <c r="P2" t="s">
        <v>182</v>
      </c>
    </row>
    <row r="3" spans="1:16">
      <c r="A3" s="59">
        <v>106</v>
      </c>
      <c r="B3" t="s">
        <v>137</v>
      </c>
      <c r="C3" t="s">
        <v>141</v>
      </c>
      <c r="D3" s="60">
        <v>36703</v>
      </c>
      <c r="E3" s="60">
        <v>36710</v>
      </c>
      <c r="F3" s="60" t="str">
        <f t="shared" si="0"/>
        <v>Monday</v>
      </c>
      <c r="G3" s="61" t="s">
        <v>1357</v>
      </c>
      <c r="H3" s="12">
        <v>41</v>
      </c>
      <c r="I3" s="12">
        <v>94</v>
      </c>
      <c r="J3" t="s">
        <v>175</v>
      </c>
      <c r="K3" t="s">
        <v>741</v>
      </c>
      <c r="L3" s="3" t="s">
        <v>190</v>
      </c>
      <c r="M3" s="27" t="s">
        <v>190</v>
      </c>
      <c r="N3" s="27" t="s">
        <v>190</v>
      </c>
      <c r="O3" t="s">
        <v>182</v>
      </c>
      <c r="P3" t="s">
        <v>182</v>
      </c>
    </row>
    <row r="4" spans="1:16">
      <c r="A4" s="59">
        <v>107</v>
      </c>
      <c r="B4" t="s">
        <v>39</v>
      </c>
      <c r="C4" t="s">
        <v>141</v>
      </c>
      <c r="D4" s="60">
        <v>37026</v>
      </c>
      <c r="E4" s="60">
        <v>37027</v>
      </c>
      <c r="F4" s="60" t="str">
        <f t="shared" si="0"/>
        <v>Tuesday</v>
      </c>
      <c r="G4" s="61" t="s">
        <v>1358</v>
      </c>
      <c r="H4" s="12">
        <v>9</v>
      </c>
      <c r="I4" s="12">
        <v>100</v>
      </c>
      <c r="J4" t="s">
        <v>160</v>
      </c>
      <c r="K4" t="s">
        <v>740</v>
      </c>
      <c r="L4" s="3" t="s">
        <v>190</v>
      </c>
      <c r="M4" s="27" t="s">
        <v>190</v>
      </c>
      <c r="N4" s="27" t="s">
        <v>190</v>
      </c>
      <c r="O4" t="s">
        <v>182</v>
      </c>
      <c r="P4" t="s">
        <v>181</v>
      </c>
    </row>
    <row r="5" spans="1:16">
      <c r="A5" s="59">
        <v>107</v>
      </c>
      <c r="B5" t="s">
        <v>89</v>
      </c>
      <c r="C5" t="s">
        <v>141</v>
      </c>
      <c r="D5" s="60">
        <v>37468</v>
      </c>
      <c r="E5" s="60">
        <v>37475</v>
      </c>
      <c r="F5" s="60" t="str">
        <f t="shared" si="0"/>
        <v>Wednesday</v>
      </c>
      <c r="G5" s="61" t="s">
        <v>1386</v>
      </c>
      <c r="H5" s="12">
        <v>5</v>
      </c>
      <c r="I5" s="12">
        <v>4</v>
      </c>
      <c r="J5" t="s">
        <v>153</v>
      </c>
      <c r="K5" t="s">
        <v>741</v>
      </c>
      <c r="L5" s="3" t="s">
        <v>190</v>
      </c>
      <c r="M5" s="27" t="s">
        <v>190</v>
      </c>
      <c r="N5" s="27" t="s">
        <v>190</v>
      </c>
      <c r="O5" t="s">
        <v>182</v>
      </c>
      <c r="P5" t="s">
        <v>182</v>
      </c>
    </row>
    <row r="6" spans="1:16">
      <c r="A6" s="59">
        <v>107</v>
      </c>
      <c r="B6" t="s">
        <v>17</v>
      </c>
      <c r="C6" t="s">
        <v>142</v>
      </c>
      <c r="D6" s="60">
        <v>37596</v>
      </c>
      <c r="E6" s="60">
        <v>37597</v>
      </c>
      <c r="F6" s="60" t="str">
        <f t="shared" si="0"/>
        <v>Friday</v>
      </c>
      <c r="G6" s="61" t="s">
        <v>1374</v>
      </c>
      <c r="H6" s="12">
        <v>90</v>
      </c>
      <c r="I6" s="12">
        <v>217</v>
      </c>
      <c r="J6" s="3" t="s">
        <v>1344</v>
      </c>
      <c r="K6" t="s">
        <v>740</v>
      </c>
      <c r="L6" s="3" t="s">
        <v>182</v>
      </c>
      <c r="M6" s="27" t="s">
        <v>1555</v>
      </c>
      <c r="N6" s="27" t="s">
        <v>190</v>
      </c>
      <c r="O6" t="s">
        <v>182</v>
      </c>
      <c r="P6" t="s">
        <v>182</v>
      </c>
    </row>
    <row r="7" spans="1:16">
      <c r="A7" s="59">
        <v>108</v>
      </c>
      <c r="B7" t="s">
        <v>67</v>
      </c>
      <c r="C7" t="s">
        <v>141</v>
      </c>
      <c r="D7" s="60">
        <v>37701</v>
      </c>
      <c r="E7" s="60">
        <v>37702</v>
      </c>
      <c r="F7" s="60" t="str">
        <f t="shared" si="0"/>
        <v>Friday</v>
      </c>
      <c r="G7" s="61" t="s">
        <v>1387</v>
      </c>
      <c r="H7" s="12">
        <v>0</v>
      </c>
      <c r="I7" s="12">
        <v>19</v>
      </c>
      <c r="J7" s="3" t="s">
        <v>165</v>
      </c>
      <c r="K7" t="s">
        <v>740</v>
      </c>
      <c r="L7" s="3" t="s">
        <v>190</v>
      </c>
      <c r="M7" s="27" t="s">
        <v>1549</v>
      </c>
      <c r="N7" s="27" t="s">
        <v>190</v>
      </c>
      <c r="O7" t="s">
        <v>181</v>
      </c>
      <c r="P7" s="3" t="s">
        <v>190</v>
      </c>
    </row>
    <row r="8" spans="1:16">
      <c r="A8" s="59">
        <v>108</v>
      </c>
      <c r="B8" t="s">
        <v>96</v>
      </c>
      <c r="C8" t="s">
        <v>142</v>
      </c>
      <c r="D8" s="60">
        <v>37732</v>
      </c>
      <c r="E8" s="60">
        <v>37733</v>
      </c>
      <c r="F8" s="60" t="str">
        <f t="shared" si="0"/>
        <v>Monday</v>
      </c>
      <c r="G8" s="61" t="s">
        <v>1373</v>
      </c>
      <c r="H8" s="12">
        <v>28</v>
      </c>
      <c r="I8" s="12">
        <v>257</v>
      </c>
      <c r="J8" t="s">
        <v>169</v>
      </c>
      <c r="K8" t="s">
        <v>740</v>
      </c>
      <c r="L8" s="3" t="s">
        <v>182</v>
      </c>
      <c r="M8" s="27" t="s">
        <v>190</v>
      </c>
      <c r="N8" s="27" t="s">
        <v>190</v>
      </c>
      <c r="O8" t="s">
        <v>182</v>
      </c>
      <c r="P8" t="s">
        <v>181</v>
      </c>
    </row>
    <row r="9" spans="1:16">
      <c r="A9" s="59">
        <v>108</v>
      </c>
      <c r="B9" t="s">
        <v>119</v>
      </c>
      <c r="C9" t="s">
        <v>141</v>
      </c>
      <c r="D9" s="60">
        <v>37777</v>
      </c>
      <c r="E9" s="60">
        <v>37778</v>
      </c>
      <c r="F9" s="60" t="str">
        <f t="shared" si="0"/>
        <v>Thursday</v>
      </c>
      <c r="G9" s="61" t="s">
        <v>1390</v>
      </c>
      <c r="H9" s="12">
        <v>137</v>
      </c>
      <c r="I9" s="12">
        <v>154</v>
      </c>
      <c r="J9" t="s">
        <v>146</v>
      </c>
      <c r="K9" t="s">
        <v>742</v>
      </c>
      <c r="L9" s="3" t="s">
        <v>190</v>
      </c>
      <c r="M9" s="27" t="s">
        <v>1546</v>
      </c>
      <c r="N9" s="27" t="s">
        <v>190</v>
      </c>
      <c r="O9" t="s">
        <v>181</v>
      </c>
      <c r="P9" s="3" t="s">
        <v>190</v>
      </c>
    </row>
    <row r="10" spans="1:16">
      <c r="A10" s="59">
        <v>108</v>
      </c>
      <c r="B10" t="s">
        <v>106</v>
      </c>
      <c r="C10" t="s">
        <v>141</v>
      </c>
      <c r="D10" s="60">
        <v>37783</v>
      </c>
      <c r="E10" s="60">
        <v>37783</v>
      </c>
      <c r="F10" s="60" t="str">
        <f t="shared" si="0"/>
        <v>Wednesday</v>
      </c>
      <c r="G10" s="61" t="s">
        <v>1388</v>
      </c>
      <c r="H10" s="12">
        <v>10</v>
      </c>
      <c r="I10" s="12">
        <v>46</v>
      </c>
      <c r="J10" t="s">
        <v>175</v>
      </c>
      <c r="K10" t="s">
        <v>741</v>
      </c>
      <c r="L10" s="3" t="s">
        <v>190</v>
      </c>
      <c r="M10" s="27" t="s">
        <v>190</v>
      </c>
      <c r="N10" s="27" t="s">
        <v>190</v>
      </c>
      <c r="O10" t="s">
        <v>182</v>
      </c>
      <c r="P10" t="s">
        <v>182</v>
      </c>
    </row>
    <row r="11" spans="1:16">
      <c r="A11" s="59">
        <v>108</v>
      </c>
      <c r="B11" t="s">
        <v>119</v>
      </c>
      <c r="C11" t="s">
        <v>141</v>
      </c>
      <c r="D11" s="60">
        <v>37824</v>
      </c>
      <c r="E11" s="60">
        <v>37824</v>
      </c>
      <c r="F11" s="60" t="str">
        <f t="shared" si="0"/>
        <v>Tuesday</v>
      </c>
      <c r="G11" s="65" t="s">
        <v>1389</v>
      </c>
      <c r="H11" s="12">
        <v>98</v>
      </c>
      <c r="I11" s="12">
        <v>199</v>
      </c>
      <c r="J11" s="3" t="s">
        <v>743</v>
      </c>
      <c r="K11" t="s">
        <v>742</v>
      </c>
      <c r="L11" s="3" t="s">
        <v>190</v>
      </c>
      <c r="M11" s="27" t="s">
        <v>1547</v>
      </c>
      <c r="N11" s="27" t="s">
        <v>190</v>
      </c>
      <c r="O11" t="s">
        <v>181</v>
      </c>
      <c r="P11" s="3" t="s">
        <v>190</v>
      </c>
    </row>
    <row r="12" spans="1:16">
      <c r="A12" s="59">
        <v>108</v>
      </c>
      <c r="B12" s="3" t="s">
        <v>135</v>
      </c>
      <c r="C12" t="s">
        <v>141</v>
      </c>
      <c r="D12" s="60">
        <v>37850</v>
      </c>
      <c r="E12" s="60">
        <v>37851</v>
      </c>
      <c r="F12" s="60" t="str">
        <f t="shared" si="0"/>
        <v>Sunday</v>
      </c>
      <c r="G12" s="65" t="s">
        <v>1391</v>
      </c>
      <c r="H12" s="12">
        <v>5</v>
      </c>
      <c r="I12" s="12">
        <v>119</v>
      </c>
      <c r="J12" s="3" t="s">
        <v>176</v>
      </c>
      <c r="K12" t="s">
        <v>740</v>
      </c>
      <c r="L12" s="3" t="s">
        <v>190</v>
      </c>
      <c r="M12" s="27" t="s">
        <v>1548</v>
      </c>
      <c r="N12" s="27" t="s">
        <v>190</v>
      </c>
      <c r="O12" t="s">
        <v>181</v>
      </c>
      <c r="P12" s="3" t="s">
        <v>190</v>
      </c>
    </row>
    <row r="13" spans="1:16">
      <c r="A13" s="59">
        <v>108</v>
      </c>
      <c r="B13" t="s">
        <v>115</v>
      </c>
      <c r="C13" t="s">
        <v>141</v>
      </c>
      <c r="D13" s="60">
        <v>37922</v>
      </c>
      <c r="E13" s="60">
        <v>37923</v>
      </c>
      <c r="F13" s="60" t="str">
        <f t="shared" si="0"/>
        <v>Tuesday</v>
      </c>
      <c r="G13" s="61" t="s">
        <v>1392</v>
      </c>
      <c r="H13" s="12">
        <v>4</v>
      </c>
      <c r="I13" s="12">
        <v>10</v>
      </c>
      <c r="J13" t="s">
        <v>160</v>
      </c>
      <c r="K13" t="s">
        <v>740</v>
      </c>
      <c r="L13" s="3" t="s">
        <v>190</v>
      </c>
      <c r="M13" s="27" t="s">
        <v>190</v>
      </c>
      <c r="N13" s="27" t="s">
        <v>190</v>
      </c>
      <c r="O13" t="s">
        <v>182</v>
      </c>
      <c r="P13" t="s">
        <v>182</v>
      </c>
    </row>
    <row r="14" spans="1:16">
      <c r="A14" s="59">
        <v>108</v>
      </c>
      <c r="B14" t="s">
        <v>67</v>
      </c>
      <c r="C14" t="s">
        <v>141</v>
      </c>
      <c r="D14" s="60">
        <v>37945</v>
      </c>
      <c r="E14" s="60">
        <v>37979</v>
      </c>
      <c r="F14" s="60" t="str">
        <f t="shared" si="0"/>
        <v>Thursday</v>
      </c>
      <c r="G14" s="61" t="s">
        <v>1393</v>
      </c>
      <c r="H14" s="12">
        <v>3</v>
      </c>
      <c r="I14" s="12">
        <v>11</v>
      </c>
      <c r="J14" s="3" t="s">
        <v>145</v>
      </c>
      <c r="K14" t="s">
        <v>741</v>
      </c>
      <c r="L14" s="3" t="s">
        <v>190</v>
      </c>
      <c r="M14" s="27" t="s">
        <v>1556</v>
      </c>
      <c r="N14" s="27" t="s">
        <v>190</v>
      </c>
      <c r="O14" t="s">
        <v>181</v>
      </c>
      <c r="P14" s="3" t="s">
        <v>190</v>
      </c>
    </row>
    <row r="15" spans="1:16">
      <c r="A15" s="59">
        <v>108</v>
      </c>
      <c r="B15" t="s">
        <v>132</v>
      </c>
      <c r="C15" t="s">
        <v>141</v>
      </c>
      <c r="D15" s="60">
        <v>38037</v>
      </c>
      <c r="E15" s="60">
        <v>38038</v>
      </c>
      <c r="F15" s="60" t="str">
        <f t="shared" si="0"/>
        <v>Friday</v>
      </c>
      <c r="G15" s="65" t="s">
        <v>1394</v>
      </c>
      <c r="H15" s="12">
        <v>6</v>
      </c>
      <c r="I15" s="12">
        <v>11</v>
      </c>
      <c r="J15" t="s">
        <v>146</v>
      </c>
      <c r="K15" t="s">
        <v>742</v>
      </c>
      <c r="L15" s="3" t="s">
        <v>190</v>
      </c>
      <c r="M15" s="27" t="s">
        <v>190</v>
      </c>
      <c r="N15" s="27" t="s">
        <v>190</v>
      </c>
      <c r="O15" t="s">
        <v>182</v>
      </c>
      <c r="P15" t="s">
        <v>182</v>
      </c>
    </row>
    <row r="16" spans="1:16">
      <c r="A16" s="59">
        <v>108</v>
      </c>
      <c r="B16" t="s">
        <v>36</v>
      </c>
      <c r="C16" t="s">
        <v>141</v>
      </c>
      <c r="D16" s="60">
        <v>38229</v>
      </c>
      <c r="E16" s="60">
        <v>38230</v>
      </c>
      <c r="F16" s="60" t="str">
        <f t="shared" si="0"/>
        <v>Monday</v>
      </c>
      <c r="G16" s="61" t="s">
        <v>1355</v>
      </c>
      <c r="H16" s="12">
        <v>0</v>
      </c>
      <c r="I16" s="12">
        <v>54</v>
      </c>
      <c r="J16" t="s">
        <v>161</v>
      </c>
      <c r="K16" t="s">
        <v>740</v>
      </c>
      <c r="L16" s="3" t="s">
        <v>182</v>
      </c>
      <c r="M16" s="27" t="s">
        <v>1554</v>
      </c>
      <c r="N16" s="27" t="s">
        <v>190</v>
      </c>
      <c r="O16" t="s">
        <v>181</v>
      </c>
      <c r="P16" s="3" t="s">
        <v>190</v>
      </c>
    </row>
    <row r="17" spans="1:16">
      <c r="A17" s="59">
        <v>108</v>
      </c>
      <c r="B17" t="s">
        <v>10</v>
      </c>
      <c r="C17" t="s">
        <v>141</v>
      </c>
      <c r="D17" s="60">
        <v>38260</v>
      </c>
      <c r="E17" s="60">
        <v>38261</v>
      </c>
      <c r="F17" s="60" t="str">
        <f t="shared" si="0"/>
        <v>Thursday</v>
      </c>
      <c r="G17" s="61" t="s">
        <v>1395</v>
      </c>
      <c r="H17" s="12">
        <v>7</v>
      </c>
      <c r="I17" s="12">
        <v>37</v>
      </c>
      <c r="J17" s="3" t="s">
        <v>151</v>
      </c>
      <c r="K17" t="s">
        <v>741</v>
      </c>
      <c r="L17" s="3" t="s">
        <v>190</v>
      </c>
      <c r="M17" s="27" t="s">
        <v>1557</v>
      </c>
      <c r="N17" s="27" t="s">
        <v>190</v>
      </c>
      <c r="O17" t="s">
        <v>182</v>
      </c>
      <c r="P17" t="s">
        <v>182</v>
      </c>
    </row>
    <row r="18" spans="1:16">
      <c r="A18" s="59">
        <v>108</v>
      </c>
      <c r="B18" t="s">
        <v>119</v>
      </c>
      <c r="C18" t="s">
        <v>141</v>
      </c>
      <c r="D18" s="60">
        <v>38260</v>
      </c>
      <c r="E18" s="60">
        <v>38261</v>
      </c>
      <c r="F18" s="60" t="str">
        <f t="shared" si="0"/>
        <v>Thursday</v>
      </c>
      <c r="G18" s="61" t="s">
        <v>1396</v>
      </c>
      <c r="H18" s="12">
        <v>135</v>
      </c>
      <c r="I18" s="12">
        <v>201</v>
      </c>
      <c r="J18" s="3" t="s">
        <v>151</v>
      </c>
      <c r="K18" t="s">
        <v>741</v>
      </c>
      <c r="L18" s="3" t="s">
        <v>190</v>
      </c>
      <c r="M18" s="27" t="s">
        <v>1557</v>
      </c>
      <c r="N18" s="27" t="s">
        <v>190</v>
      </c>
      <c r="O18" t="s">
        <v>181</v>
      </c>
      <c r="P18" s="3" t="s">
        <v>190</v>
      </c>
    </row>
    <row r="19" spans="1:16">
      <c r="A19" s="59">
        <v>108</v>
      </c>
      <c r="B19" t="s">
        <v>28</v>
      </c>
      <c r="C19" t="s">
        <v>141</v>
      </c>
      <c r="D19" s="60">
        <v>38272</v>
      </c>
      <c r="E19" s="60">
        <v>38273</v>
      </c>
      <c r="F19" s="60" t="str">
        <f t="shared" si="0"/>
        <v>Tuesday</v>
      </c>
      <c r="G19" s="61" t="s">
        <v>1397</v>
      </c>
      <c r="H19" s="12">
        <v>7</v>
      </c>
      <c r="I19" s="12">
        <v>25</v>
      </c>
      <c r="J19" s="3" t="s">
        <v>157</v>
      </c>
      <c r="K19" t="s">
        <v>740</v>
      </c>
      <c r="L19" s="3" t="s">
        <v>190</v>
      </c>
      <c r="M19" s="27" t="s">
        <v>190</v>
      </c>
      <c r="N19" s="27" t="s">
        <v>190</v>
      </c>
      <c r="O19" t="s">
        <v>182</v>
      </c>
      <c r="P19" t="s">
        <v>182</v>
      </c>
    </row>
    <row r="20" spans="1:16">
      <c r="A20" s="59">
        <v>108</v>
      </c>
      <c r="B20" t="s">
        <v>19</v>
      </c>
      <c r="C20" t="s">
        <v>142</v>
      </c>
      <c r="D20" s="60">
        <v>38308</v>
      </c>
      <c r="E20" s="60">
        <v>38309</v>
      </c>
      <c r="F20" s="60" t="str">
        <f t="shared" si="0"/>
        <v>Wednesday</v>
      </c>
      <c r="G20" s="61" t="s">
        <v>143</v>
      </c>
      <c r="H20" s="12">
        <v>26</v>
      </c>
      <c r="I20" s="12">
        <v>49</v>
      </c>
      <c r="J20" t="s">
        <v>146</v>
      </c>
      <c r="K20" t="s">
        <v>742</v>
      </c>
      <c r="L20" s="3" t="s">
        <v>190</v>
      </c>
      <c r="M20" s="27" t="s">
        <v>190</v>
      </c>
      <c r="N20" s="27" t="s">
        <v>190</v>
      </c>
      <c r="O20" t="s">
        <v>181</v>
      </c>
      <c r="P20" s="3" t="s">
        <v>190</v>
      </c>
    </row>
    <row r="21" spans="1:16">
      <c r="A21" s="59">
        <v>108</v>
      </c>
      <c r="B21" t="s">
        <v>103</v>
      </c>
      <c r="C21" t="s">
        <v>141</v>
      </c>
      <c r="D21" s="60">
        <v>38308</v>
      </c>
      <c r="E21" s="60">
        <v>38309</v>
      </c>
      <c r="F21" s="60" t="str">
        <f t="shared" si="0"/>
        <v>Wednesday</v>
      </c>
      <c r="G21" s="61" t="s">
        <v>1398</v>
      </c>
      <c r="H21" s="12">
        <v>11</v>
      </c>
      <c r="I21" s="12">
        <v>22</v>
      </c>
      <c r="J21" t="s">
        <v>146</v>
      </c>
      <c r="K21" t="s">
        <v>742</v>
      </c>
      <c r="L21" s="3" t="s">
        <v>190</v>
      </c>
      <c r="M21" s="27" t="s">
        <v>1558</v>
      </c>
      <c r="N21" s="27" t="s">
        <v>190</v>
      </c>
      <c r="O21" s="3" t="s">
        <v>182</v>
      </c>
      <c r="P21" s="3" t="s">
        <v>182</v>
      </c>
    </row>
    <row r="22" spans="1:16">
      <c r="A22" s="59">
        <v>108</v>
      </c>
      <c r="B22" t="s">
        <v>98</v>
      </c>
      <c r="C22" t="s">
        <v>141</v>
      </c>
      <c r="D22" s="60">
        <v>38326</v>
      </c>
      <c r="E22" s="60">
        <v>38469</v>
      </c>
      <c r="F22" s="60" t="str">
        <f t="shared" si="0"/>
        <v>Sunday</v>
      </c>
      <c r="G22" s="61" t="s">
        <v>1399</v>
      </c>
      <c r="H22" s="12">
        <v>24</v>
      </c>
      <c r="I22" s="12">
        <v>24</v>
      </c>
      <c r="J22" t="s">
        <v>153</v>
      </c>
      <c r="K22" t="s">
        <v>741</v>
      </c>
      <c r="L22" s="3" t="s">
        <v>190</v>
      </c>
      <c r="M22" s="27" t="s">
        <v>190</v>
      </c>
      <c r="N22" s="27" t="s">
        <v>190</v>
      </c>
      <c r="O22" t="s">
        <v>182</v>
      </c>
      <c r="P22" t="s">
        <v>182</v>
      </c>
    </row>
    <row r="23" spans="1:16">
      <c r="A23" s="59">
        <v>108</v>
      </c>
      <c r="B23" t="s">
        <v>118</v>
      </c>
      <c r="C23" t="s">
        <v>141</v>
      </c>
      <c r="D23" s="60">
        <v>38333</v>
      </c>
      <c r="E23" s="60">
        <v>38333</v>
      </c>
      <c r="F23" s="60" t="str">
        <f t="shared" si="0"/>
        <v>Sunday</v>
      </c>
      <c r="G23" s="61" t="s">
        <v>1400</v>
      </c>
      <c r="H23" s="12">
        <v>9</v>
      </c>
      <c r="I23" s="12">
        <v>3</v>
      </c>
      <c r="J23" s="3" t="s">
        <v>156</v>
      </c>
      <c r="K23" t="s">
        <v>741</v>
      </c>
      <c r="L23" s="3" t="s">
        <v>190</v>
      </c>
      <c r="M23" s="27" t="s">
        <v>190</v>
      </c>
      <c r="N23" s="27" t="s">
        <v>190</v>
      </c>
      <c r="O23" t="s">
        <v>182</v>
      </c>
      <c r="P23" t="s">
        <v>182</v>
      </c>
    </row>
    <row r="24" spans="1:16">
      <c r="A24" s="59">
        <v>108</v>
      </c>
      <c r="B24" t="s">
        <v>59</v>
      </c>
      <c r="C24" t="s">
        <v>141</v>
      </c>
      <c r="D24" s="60">
        <v>38347</v>
      </c>
      <c r="E24" s="60">
        <v>38347</v>
      </c>
      <c r="F24" s="60" t="str">
        <f t="shared" si="0"/>
        <v>Sunday</v>
      </c>
      <c r="G24" s="61" t="s">
        <v>1401</v>
      </c>
      <c r="H24" s="12">
        <v>0</v>
      </c>
      <c r="I24" s="12">
        <v>5</v>
      </c>
      <c r="J24" t="s">
        <v>158</v>
      </c>
      <c r="K24" t="s">
        <v>742</v>
      </c>
      <c r="L24" s="3" t="s">
        <v>190</v>
      </c>
      <c r="M24" s="27" t="s">
        <v>1559</v>
      </c>
      <c r="N24" s="27" t="s">
        <v>190</v>
      </c>
      <c r="O24" t="s">
        <v>182</v>
      </c>
      <c r="P24" t="s">
        <v>182</v>
      </c>
    </row>
    <row r="25" spans="1:16">
      <c r="A25" s="59">
        <v>109</v>
      </c>
      <c r="B25" t="s">
        <v>119</v>
      </c>
      <c r="C25" t="s">
        <v>141</v>
      </c>
      <c r="D25" s="60">
        <v>38408</v>
      </c>
      <c r="E25" s="60">
        <v>38414</v>
      </c>
      <c r="F25" s="60" t="str">
        <f t="shared" si="0"/>
        <v>Friday</v>
      </c>
      <c r="G25" s="61" t="s">
        <v>1402</v>
      </c>
      <c r="H25" s="12">
        <v>46</v>
      </c>
      <c r="I25" s="12">
        <v>84</v>
      </c>
      <c r="J25" t="s">
        <v>146</v>
      </c>
      <c r="K25" t="s">
        <v>742</v>
      </c>
      <c r="L25" s="3" t="s">
        <v>190</v>
      </c>
      <c r="M25" s="27" t="s">
        <v>1560</v>
      </c>
      <c r="N25" s="27" t="s">
        <v>190</v>
      </c>
      <c r="O25" t="s">
        <v>181</v>
      </c>
      <c r="P25" s="3" t="s">
        <v>190</v>
      </c>
    </row>
    <row r="26" spans="1:16">
      <c r="A26" s="59">
        <v>109</v>
      </c>
      <c r="B26" t="s">
        <v>23</v>
      </c>
      <c r="C26" t="s">
        <v>142</v>
      </c>
      <c r="D26" s="60">
        <v>38412</v>
      </c>
      <c r="E26" s="60">
        <v>38412</v>
      </c>
      <c r="F26" s="60" t="str">
        <f t="shared" si="0"/>
        <v>Tuesday</v>
      </c>
      <c r="G26" s="61" t="s">
        <v>1333</v>
      </c>
      <c r="H26" s="12">
        <v>16</v>
      </c>
      <c r="I26" s="12">
        <v>38</v>
      </c>
      <c r="J26" t="s">
        <v>146</v>
      </c>
      <c r="K26" t="s">
        <v>742</v>
      </c>
      <c r="L26" s="3" t="s">
        <v>190</v>
      </c>
      <c r="M26" s="27" t="s">
        <v>190</v>
      </c>
      <c r="N26" s="27" t="s">
        <v>190</v>
      </c>
      <c r="O26" t="s">
        <v>182</v>
      </c>
      <c r="P26" t="s">
        <v>181</v>
      </c>
    </row>
    <row r="27" spans="1:16">
      <c r="A27" s="59">
        <v>109</v>
      </c>
      <c r="B27" t="s">
        <v>118</v>
      </c>
      <c r="C27" t="s">
        <v>141</v>
      </c>
      <c r="D27" s="60">
        <v>38420</v>
      </c>
      <c r="E27" s="60">
        <v>38509</v>
      </c>
      <c r="F27" s="60" t="str">
        <f t="shared" si="0"/>
        <v>Wednesday</v>
      </c>
      <c r="G27" s="61" t="s">
        <v>1403</v>
      </c>
      <c r="H27" s="12">
        <v>7</v>
      </c>
      <c r="I27" s="12">
        <v>16</v>
      </c>
      <c r="J27" s="3" t="s">
        <v>150</v>
      </c>
      <c r="K27" t="s">
        <v>742</v>
      </c>
      <c r="L27" s="3" t="s">
        <v>190</v>
      </c>
      <c r="M27" s="27" t="s">
        <v>1561</v>
      </c>
      <c r="N27" s="27" t="s">
        <v>190</v>
      </c>
      <c r="O27" t="s">
        <v>182</v>
      </c>
      <c r="P27" t="s">
        <v>182</v>
      </c>
    </row>
    <row r="28" spans="1:16">
      <c r="A28" s="59">
        <v>109</v>
      </c>
      <c r="B28" t="s">
        <v>98</v>
      </c>
      <c r="C28" t="s">
        <v>141</v>
      </c>
      <c r="D28" s="60">
        <v>38449</v>
      </c>
      <c r="E28" s="60">
        <v>38539</v>
      </c>
      <c r="F28" s="60" t="str">
        <f t="shared" si="0"/>
        <v>Thursday</v>
      </c>
      <c r="G28" s="61" t="s">
        <v>1404</v>
      </c>
      <c r="H28" s="12">
        <v>11</v>
      </c>
      <c r="I28" s="12">
        <v>15</v>
      </c>
      <c r="J28" s="3" t="s">
        <v>168</v>
      </c>
      <c r="K28" t="s">
        <v>741</v>
      </c>
      <c r="L28" s="3" t="s">
        <v>190</v>
      </c>
      <c r="M28" s="27" t="s">
        <v>190</v>
      </c>
      <c r="N28" s="27" t="s">
        <v>190</v>
      </c>
      <c r="O28" t="s">
        <v>182</v>
      </c>
      <c r="P28" t="s">
        <v>181</v>
      </c>
    </row>
    <row r="29" spans="1:16">
      <c r="A29" s="59">
        <v>109</v>
      </c>
      <c r="B29" t="s">
        <v>98</v>
      </c>
      <c r="C29" t="s">
        <v>141</v>
      </c>
      <c r="D29" s="60">
        <v>38456</v>
      </c>
      <c r="E29" s="60">
        <v>38738</v>
      </c>
      <c r="F29" s="60" t="str">
        <f t="shared" si="0"/>
        <v>Thursday</v>
      </c>
      <c r="G29" s="61" t="s">
        <v>1405</v>
      </c>
      <c r="H29" s="12">
        <v>19</v>
      </c>
      <c r="I29" s="12">
        <v>21</v>
      </c>
      <c r="J29" t="s">
        <v>167</v>
      </c>
      <c r="K29" t="s">
        <v>742</v>
      </c>
      <c r="L29" s="3" t="s">
        <v>190</v>
      </c>
      <c r="M29" s="27" t="s">
        <v>190</v>
      </c>
      <c r="N29" s="27" t="s">
        <v>190</v>
      </c>
      <c r="O29" t="s">
        <v>182</v>
      </c>
      <c r="P29" t="s">
        <v>181</v>
      </c>
    </row>
    <row r="30" spans="1:16">
      <c r="A30" s="59">
        <v>109</v>
      </c>
      <c r="B30" t="s">
        <v>31</v>
      </c>
      <c r="C30" t="s">
        <v>141</v>
      </c>
      <c r="D30" s="60">
        <v>38474</v>
      </c>
      <c r="E30" s="60">
        <v>38476</v>
      </c>
      <c r="F30" s="60" t="str">
        <f t="shared" si="0"/>
        <v>Monday</v>
      </c>
      <c r="G30" s="61" t="s">
        <v>1406</v>
      </c>
      <c r="H30" s="12">
        <v>4</v>
      </c>
      <c r="I30" s="12">
        <v>46</v>
      </c>
      <c r="J30" s="3" t="s">
        <v>157</v>
      </c>
      <c r="K30" t="s">
        <v>740</v>
      </c>
      <c r="L30" s="3" t="s">
        <v>190</v>
      </c>
      <c r="M30" s="27" t="s">
        <v>190</v>
      </c>
      <c r="N30" s="27" t="s">
        <v>190</v>
      </c>
      <c r="O30" t="s">
        <v>182</v>
      </c>
      <c r="P30" t="s">
        <v>181</v>
      </c>
    </row>
    <row r="31" spans="1:16">
      <c r="A31" s="59">
        <v>109</v>
      </c>
      <c r="B31" t="s">
        <v>93</v>
      </c>
      <c r="C31" t="s">
        <v>141</v>
      </c>
      <c r="D31" s="60">
        <v>38515</v>
      </c>
      <c r="E31" s="60">
        <v>38518</v>
      </c>
      <c r="F31" s="60" t="str">
        <f t="shared" si="0"/>
        <v>Sunday</v>
      </c>
      <c r="G31" s="61" t="s">
        <v>1407</v>
      </c>
      <c r="H31" s="12">
        <v>6</v>
      </c>
      <c r="I31" s="12">
        <v>32</v>
      </c>
      <c r="J31" t="s">
        <v>146</v>
      </c>
      <c r="K31" t="s">
        <v>742</v>
      </c>
      <c r="L31" s="3" t="s">
        <v>190</v>
      </c>
      <c r="M31" s="27" t="s">
        <v>1562</v>
      </c>
      <c r="N31" s="27" t="s">
        <v>190</v>
      </c>
      <c r="O31" s="3" t="s">
        <v>181</v>
      </c>
      <c r="P31" s="3" t="s">
        <v>190</v>
      </c>
    </row>
    <row r="32" spans="1:16">
      <c r="A32" s="59">
        <v>109</v>
      </c>
      <c r="B32" t="s">
        <v>130</v>
      </c>
      <c r="C32" t="s">
        <v>141</v>
      </c>
      <c r="D32" s="60">
        <v>38520</v>
      </c>
      <c r="E32" s="60">
        <v>38520</v>
      </c>
      <c r="F32" s="60" t="str">
        <f t="shared" si="0"/>
        <v>Friday</v>
      </c>
      <c r="G32" s="61" t="s">
        <v>1408</v>
      </c>
      <c r="H32" s="12">
        <v>3</v>
      </c>
      <c r="I32" s="12">
        <v>6</v>
      </c>
      <c r="J32" t="s">
        <v>146</v>
      </c>
      <c r="K32" t="s">
        <v>742</v>
      </c>
      <c r="L32" s="3" t="s">
        <v>190</v>
      </c>
      <c r="M32" s="27" t="s">
        <v>1563</v>
      </c>
      <c r="N32" s="27" t="s">
        <v>190</v>
      </c>
      <c r="O32" t="s">
        <v>182</v>
      </c>
      <c r="P32" t="s">
        <v>182</v>
      </c>
    </row>
    <row r="33" spans="1:16">
      <c r="A33" s="59">
        <v>109</v>
      </c>
      <c r="B33" t="s">
        <v>68</v>
      </c>
      <c r="C33" t="s">
        <v>141</v>
      </c>
      <c r="D33" s="60">
        <v>38529</v>
      </c>
      <c r="E33" s="60">
        <v>38529</v>
      </c>
      <c r="F33" s="60" t="str">
        <f t="shared" si="0"/>
        <v>Sunday</v>
      </c>
      <c r="G33" s="61" t="s">
        <v>1409</v>
      </c>
      <c r="H33" s="12">
        <v>34</v>
      </c>
      <c r="I33" s="12">
        <v>41</v>
      </c>
      <c r="J33" t="s">
        <v>146</v>
      </c>
      <c r="K33" t="s">
        <v>742</v>
      </c>
      <c r="L33" s="3" t="s">
        <v>190</v>
      </c>
      <c r="M33" s="27" t="s">
        <v>1564</v>
      </c>
      <c r="N33" s="27" t="s">
        <v>190</v>
      </c>
      <c r="O33" t="s">
        <v>182</v>
      </c>
      <c r="P33" t="s">
        <v>181</v>
      </c>
    </row>
    <row r="34" spans="1:16">
      <c r="A34" s="59">
        <v>109</v>
      </c>
      <c r="B34" s="3" t="s">
        <v>134</v>
      </c>
      <c r="C34" t="s">
        <v>141</v>
      </c>
      <c r="D34" s="60">
        <v>38567</v>
      </c>
      <c r="E34" s="60">
        <v>38568</v>
      </c>
      <c r="F34" s="60" t="str">
        <f t="shared" si="0"/>
        <v>Wednesday</v>
      </c>
      <c r="G34" s="61" t="s">
        <v>1410</v>
      </c>
      <c r="H34" s="12">
        <v>1</v>
      </c>
      <c r="I34" s="12">
        <v>37</v>
      </c>
      <c r="J34" t="s">
        <v>146</v>
      </c>
      <c r="K34" t="s">
        <v>742</v>
      </c>
      <c r="L34" s="3" t="s">
        <v>190</v>
      </c>
      <c r="M34" s="27" t="s">
        <v>1565</v>
      </c>
      <c r="N34" s="27" t="s">
        <v>190</v>
      </c>
      <c r="O34" t="s">
        <v>182</v>
      </c>
      <c r="P34" t="s">
        <v>182</v>
      </c>
    </row>
    <row r="35" spans="1:16">
      <c r="A35" s="59">
        <v>109</v>
      </c>
      <c r="B35" t="s">
        <v>133</v>
      </c>
      <c r="C35" t="s">
        <v>142</v>
      </c>
      <c r="D35" s="60">
        <v>38617</v>
      </c>
      <c r="E35" s="60">
        <v>38618</v>
      </c>
      <c r="F35" s="60" t="str">
        <f t="shared" si="0"/>
        <v>Thursday</v>
      </c>
      <c r="G35" s="61" t="s">
        <v>1411</v>
      </c>
      <c r="H35" s="12">
        <v>154</v>
      </c>
      <c r="I35" s="12">
        <v>267</v>
      </c>
      <c r="J35" t="s">
        <v>155</v>
      </c>
      <c r="K35" t="s">
        <v>741</v>
      </c>
      <c r="L35" s="3" t="s">
        <v>190</v>
      </c>
      <c r="M35" s="27" t="s">
        <v>190</v>
      </c>
      <c r="N35" s="27" t="s">
        <v>190</v>
      </c>
      <c r="O35" t="s">
        <v>181</v>
      </c>
      <c r="P35" s="3" t="s">
        <v>190</v>
      </c>
    </row>
    <row r="36" spans="1:16">
      <c r="A36" s="59">
        <v>109</v>
      </c>
      <c r="B36" t="s">
        <v>103</v>
      </c>
      <c r="C36" t="s">
        <v>141</v>
      </c>
      <c r="D36" s="60">
        <v>38643</v>
      </c>
      <c r="E36" s="60">
        <v>38646</v>
      </c>
      <c r="F36" s="60" t="str">
        <f t="shared" si="0"/>
        <v>Tuesday</v>
      </c>
      <c r="G36" s="61" t="s">
        <v>1412</v>
      </c>
      <c r="H36" s="12">
        <v>5</v>
      </c>
      <c r="I36" s="12">
        <v>41</v>
      </c>
      <c r="J36" t="s">
        <v>146</v>
      </c>
      <c r="K36" t="s">
        <v>742</v>
      </c>
      <c r="L36" s="3" t="s">
        <v>190</v>
      </c>
      <c r="M36" s="27" t="s">
        <v>1558</v>
      </c>
      <c r="N36" s="27" t="s">
        <v>190</v>
      </c>
      <c r="O36" t="s">
        <v>181</v>
      </c>
      <c r="P36" s="3" t="s">
        <v>190</v>
      </c>
    </row>
    <row r="37" spans="1:16">
      <c r="A37" s="59">
        <v>109</v>
      </c>
      <c r="B37" t="s">
        <v>65</v>
      </c>
      <c r="C37" t="s">
        <v>141</v>
      </c>
      <c r="D37" s="60">
        <v>38681</v>
      </c>
      <c r="E37" s="60">
        <v>38681</v>
      </c>
      <c r="F37" s="60" t="str">
        <f t="shared" si="0"/>
        <v>Friday</v>
      </c>
      <c r="G37" s="61" t="s">
        <v>1413</v>
      </c>
      <c r="H37" s="12">
        <v>15</v>
      </c>
      <c r="I37" s="12">
        <v>24</v>
      </c>
      <c r="J37" t="s">
        <v>167</v>
      </c>
      <c r="K37" t="s">
        <v>742</v>
      </c>
      <c r="L37" s="3" t="s">
        <v>190</v>
      </c>
      <c r="M37" s="27" t="s">
        <v>1566</v>
      </c>
      <c r="N37" s="27" t="s">
        <v>190</v>
      </c>
      <c r="O37" s="3" t="s">
        <v>181</v>
      </c>
      <c r="P37" s="3" t="s">
        <v>190</v>
      </c>
    </row>
    <row r="38" spans="1:16">
      <c r="A38" s="59">
        <v>109</v>
      </c>
      <c r="B38" t="s">
        <v>15</v>
      </c>
      <c r="C38" t="s">
        <v>141</v>
      </c>
      <c r="D38" s="60">
        <v>38726</v>
      </c>
      <c r="E38" s="60">
        <v>38737</v>
      </c>
      <c r="F38" s="60" t="str">
        <f t="shared" si="0"/>
        <v>Monday</v>
      </c>
      <c r="G38" s="62" t="s">
        <v>1414</v>
      </c>
      <c r="H38" s="12">
        <v>57</v>
      </c>
      <c r="I38" s="12">
        <v>49</v>
      </c>
      <c r="J38" t="s">
        <v>146</v>
      </c>
      <c r="K38" t="s">
        <v>742</v>
      </c>
      <c r="L38" s="3" t="s">
        <v>190</v>
      </c>
      <c r="M38" s="27" t="s">
        <v>1567</v>
      </c>
      <c r="N38" s="27" t="s">
        <v>190</v>
      </c>
      <c r="O38" t="s">
        <v>182</v>
      </c>
      <c r="P38" t="s">
        <v>182</v>
      </c>
    </row>
    <row r="39" spans="1:16">
      <c r="A39" s="59">
        <v>109</v>
      </c>
      <c r="B39" t="s">
        <v>15</v>
      </c>
      <c r="C39" t="s">
        <v>141</v>
      </c>
      <c r="D39" s="60">
        <v>38736</v>
      </c>
      <c r="E39" s="60">
        <v>38737</v>
      </c>
      <c r="F39" s="60" t="str">
        <f t="shared" si="0"/>
        <v>Thursday</v>
      </c>
      <c r="G39" s="61" t="s">
        <v>1415</v>
      </c>
      <c r="H39" s="12">
        <v>27</v>
      </c>
      <c r="I39" s="12">
        <v>41</v>
      </c>
      <c r="J39" t="s">
        <v>146</v>
      </c>
      <c r="K39" t="s">
        <v>742</v>
      </c>
      <c r="L39" s="3" t="s">
        <v>190</v>
      </c>
      <c r="M39" s="27" t="s">
        <v>190</v>
      </c>
      <c r="N39" s="27" t="s">
        <v>190</v>
      </c>
      <c r="O39" t="s">
        <v>182</v>
      </c>
      <c r="P39" t="s">
        <v>182</v>
      </c>
    </row>
    <row r="40" spans="1:16">
      <c r="A40" s="59">
        <v>109</v>
      </c>
      <c r="B40" t="s">
        <v>66</v>
      </c>
      <c r="C40" t="s">
        <v>141</v>
      </c>
      <c r="D40" s="60">
        <v>38777</v>
      </c>
      <c r="E40" s="60">
        <v>38784</v>
      </c>
      <c r="F40" s="60" t="str">
        <f t="shared" si="0"/>
        <v>Wednesday</v>
      </c>
      <c r="G40" s="61" t="s">
        <v>1416</v>
      </c>
      <c r="H40" s="12">
        <v>19</v>
      </c>
      <c r="I40" s="12">
        <v>40</v>
      </c>
      <c r="J40" s="3" t="s">
        <v>168</v>
      </c>
      <c r="K40" t="s">
        <v>741</v>
      </c>
      <c r="L40" s="3" t="s">
        <v>190</v>
      </c>
      <c r="M40" s="27"/>
      <c r="N40" s="27" t="s">
        <v>190</v>
      </c>
      <c r="O40" t="s">
        <v>182</v>
      </c>
      <c r="P40" t="s">
        <v>182</v>
      </c>
    </row>
    <row r="41" spans="1:16">
      <c r="A41" s="59">
        <v>109</v>
      </c>
      <c r="B41" t="s">
        <v>25</v>
      </c>
      <c r="C41" t="s">
        <v>141</v>
      </c>
      <c r="D41" s="60">
        <v>38805</v>
      </c>
      <c r="E41" s="60">
        <v>38806</v>
      </c>
      <c r="F41" s="60" t="str">
        <f t="shared" si="0"/>
        <v>Wednesday</v>
      </c>
      <c r="G41" s="61" t="s">
        <v>745</v>
      </c>
      <c r="H41" s="12">
        <v>4</v>
      </c>
      <c r="I41" s="12">
        <v>413</v>
      </c>
      <c r="J41" s="3" t="s">
        <v>157</v>
      </c>
      <c r="K41" t="s">
        <v>740</v>
      </c>
      <c r="L41" s="3" t="s">
        <v>190</v>
      </c>
      <c r="M41" s="27" t="s">
        <v>190</v>
      </c>
      <c r="N41" s="27" t="s">
        <v>190</v>
      </c>
      <c r="O41" t="s">
        <v>182</v>
      </c>
      <c r="P41" t="s">
        <v>181</v>
      </c>
    </row>
    <row r="42" spans="1:16">
      <c r="A42" s="59">
        <v>109</v>
      </c>
      <c r="B42" t="s">
        <v>3</v>
      </c>
      <c r="C42" t="s">
        <v>141</v>
      </c>
      <c r="D42" s="60">
        <v>38814</v>
      </c>
      <c r="E42" s="60">
        <v>38815</v>
      </c>
      <c r="F42" s="60" t="str">
        <f t="shared" si="0"/>
        <v>Friday</v>
      </c>
      <c r="G42" s="61" t="s">
        <v>1359</v>
      </c>
      <c r="H42" s="12">
        <v>14</v>
      </c>
      <c r="I42" s="12">
        <v>43</v>
      </c>
      <c r="J42" t="s">
        <v>146</v>
      </c>
      <c r="K42" t="s">
        <v>742</v>
      </c>
      <c r="L42" s="3" t="s">
        <v>190</v>
      </c>
      <c r="M42" s="27" t="s">
        <v>1568</v>
      </c>
      <c r="N42" s="27" t="s">
        <v>190</v>
      </c>
      <c r="O42" t="s">
        <v>182</v>
      </c>
      <c r="P42" t="s">
        <v>182</v>
      </c>
    </row>
    <row r="43" spans="1:16">
      <c r="A43" s="59">
        <v>109</v>
      </c>
      <c r="B43" s="3" t="s">
        <v>189</v>
      </c>
      <c r="C43" t="s">
        <v>141</v>
      </c>
      <c r="D43" s="60">
        <v>38841</v>
      </c>
      <c r="E43" s="60">
        <v>38842</v>
      </c>
      <c r="F43" s="60" t="str">
        <f t="shared" si="0"/>
        <v>Thursday</v>
      </c>
      <c r="G43" s="61" t="s">
        <v>1417</v>
      </c>
      <c r="H43" s="12">
        <v>9</v>
      </c>
      <c r="I43" s="12">
        <v>2581</v>
      </c>
      <c r="J43" s="3" t="s">
        <v>171</v>
      </c>
      <c r="K43" t="s">
        <v>740</v>
      </c>
      <c r="L43" s="3" t="s">
        <v>190</v>
      </c>
      <c r="M43" s="27" t="s">
        <v>1569</v>
      </c>
      <c r="N43" s="27" t="s">
        <v>190</v>
      </c>
      <c r="O43" s="3" t="s">
        <v>182</v>
      </c>
      <c r="P43" s="3" t="s">
        <v>182</v>
      </c>
    </row>
    <row r="44" spans="1:16">
      <c r="A44" s="59">
        <v>109</v>
      </c>
      <c r="B44" t="s">
        <v>70</v>
      </c>
      <c r="C44" t="s">
        <v>141</v>
      </c>
      <c r="D44" s="60">
        <v>38852</v>
      </c>
      <c r="E44" s="60">
        <v>38890</v>
      </c>
      <c r="F44" s="60" t="str">
        <f t="shared" si="0"/>
        <v>Monday</v>
      </c>
      <c r="G44" s="61" t="s">
        <v>1418</v>
      </c>
      <c r="H44" s="12">
        <v>6</v>
      </c>
      <c r="I44" s="12">
        <v>16</v>
      </c>
      <c r="J44" s="3" t="s">
        <v>168</v>
      </c>
      <c r="K44" t="s">
        <v>741</v>
      </c>
      <c r="L44" s="3" t="s">
        <v>190</v>
      </c>
      <c r="M44" s="27" t="s">
        <v>190</v>
      </c>
      <c r="N44" s="27" t="s">
        <v>190</v>
      </c>
      <c r="O44" t="s">
        <v>182</v>
      </c>
      <c r="P44" t="s">
        <v>182</v>
      </c>
    </row>
    <row r="45" spans="1:16">
      <c r="A45" s="59">
        <v>109</v>
      </c>
      <c r="B45" t="s">
        <v>14</v>
      </c>
      <c r="C45" t="s">
        <v>141</v>
      </c>
      <c r="D45" s="60">
        <v>38882</v>
      </c>
      <c r="E45" s="60">
        <v>38897</v>
      </c>
      <c r="F45" s="60" t="str">
        <f t="shared" si="0"/>
        <v>Wednesday</v>
      </c>
      <c r="G45" s="61" t="s">
        <v>1419</v>
      </c>
      <c r="H45" s="12">
        <v>2</v>
      </c>
      <c r="I45" s="12">
        <v>7</v>
      </c>
      <c r="J45" t="s">
        <v>154</v>
      </c>
      <c r="K45" t="s">
        <v>741</v>
      </c>
      <c r="L45" s="3" t="s">
        <v>190</v>
      </c>
      <c r="M45" s="27" t="s">
        <v>190</v>
      </c>
      <c r="N45" s="27" t="s">
        <v>190</v>
      </c>
      <c r="O45" t="s">
        <v>182</v>
      </c>
      <c r="P45" t="s">
        <v>181</v>
      </c>
    </row>
    <row r="46" spans="1:16">
      <c r="A46" s="59">
        <v>109</v>
      </c>
      <c r="B46" t="s">
        <v>131</v>
      </c>
      <c r="C46" t="s">
        <v>141</v>
      </c>
      <c r="D46" s="60">
        <v>38893</v>
      </c>
      <c r="E46" s="60">
        <v>38893</v>
      </c>
      <c r="F46" s="60" t="str">
        <f t="shared" si="0"/>
        <v>Sunday</v>
      </c>
      <c r="G46" s="61" t="s">
        <v>1420</v>
      </c>
      <c r="H46" s="12">
        <v>5</v>
      </c>
      <c r="I46" s="12">
        <v>25</v>
      </c>
      <c r="J46" s="3" t="s">
        <v>145</v>
      </c>
      <c r="K46" t="s">
        <v>741</v>
      </c>
      <c r="L46" s="3" t="s">
        <v>190</v>
      </c>
      <c r="M46" s="27" t="s">
        <v>190</v>
      </c>
      <c r="N46" s="27" t="s">
        <v>190</v>
      </c>
      <c r="O46" t="s">
        <v>182</v>
      </c>
      <c r="P46" t="s">
        <v>182</v>
      </c>
    </row>
    <row r="47" spans="1:16">
      <c r="A47" s="59">
        <v>109</v>
      </c>
      <c r="B47" t="s">
        <v>40</v>
      </c>
      <c r="C47" t="s">
        <v>141</v>
      </c>
      <c r="D47" s="60">
        <v>38911</v>
      </c>
      <c r="E47" s="60">
        <v>39117</v>
      </c>
      <c r="F47" s="60" t="str">
        <f t="shared" si="0"/>
        <v>Thursday</v>
      </c>
      <c r="G47" s="61" t="s">
        <v>1421</v>
      </c>
      <c r="H47" s="12">
        <v>14</v>
      </c>
      <c r="I47" s="12">
        <v>13</v>
      </c>
      <c r="J47" t="s">
        <v>146</v>
      </c>
      <c r="K47" t="s">
        <v>742</v>
      </c>
      <c r="L47" s="3" t="s">
        <v>190</v>
      </c>
      <c r="M47" s="27" t="s">
        <v>190</v>
      </c>
      <c r="N47" s="27" t="s">
        <v>190</v>
      </c>
      <c r="O47" t="s">
        <v>182</v>
      </c>
      <c r="P47" t="s">
        <v>182</v>
      </c>
    </row>
    <row r="48" spans="1:16">
      <c r="A48" s="59">
        <v>109</v>
      </c>
      <c r="B48" t="s">
        <v>40</v>
      </c>
      <c r="C48" t="s">
        <v>141</v>
      </c>
      <c r="D48" s="60">
        <v>38942</v>
      </c>
      <c r="E48" s="60">
        <v>39117</v>
      </c>
      <c r="F48" s="60" t="str">
        <f t="shared" si="0"/>
        <v>Sunday</v>
      </c>
      <c r="G48" s="61" t="s">
        <v>1422</v>
      </c>
      <c r="H48" s="12">
        <v>21</v>
      </c>
      <c r="I48" s="12">
        <v>23</v>
      </c>
      <c r="J48" s="3" t="s">
        <v>184</v>
      </c>
      <c r="K48" t="s">
        <v>741</v>
      </c>
      <c r="L48" s="3" t="s">
        <v>190</v>
      </c>
      <c r="M48" s="27" t="s">
        <v>190</v>
      </c>
      <c r="N48" s="27" t="s">
        <v>190</v>
      </c>
      <c r="O48" t="s">
        <v>182</v>
      </c>
      <c r="P48" t="s">
        <v>182</v>
      </c>
    </row>
    <row r="49" spans="1:16">
      <c r="A49" s="59">
        <v>109</v>
      </c>
      <c r="B49" t="s">
        <v>42</v>
      </c>
      <c r="C49" t="s">
        <v>142</v>
      </c>
      <c r="D49" s="60">
        <v>38943</v>
      </c>
      <c r="E49" s="60">
        <v>38944</v>
      </c>
      <c r="F49" s="60" t="str">
        <f t="shared" si="0"/>
        <v>Monday</v>
      </c>
      <c r="G49" s="61" t="s">
        <v>1375</v>
      </c>
      <c r="H49" s="12">
        <v>76</v>
      </c>
      <c r="I49" s="12">
        <v>405</v>
      </c>
      <c r="J49" s="3" t="s">
        <v>1344</v>
      </c>
      <c r="K49" t="s">
        <v>740</v>
      </c>
      <c r="L49" s="3" t="s">
        <v>182</v>
      </c>
      <c r="M49" s="27" t="s">
        <v>190</v>
      </c>
      <c r="N49" s="27" t="s">
        <v>190</v>
      </c>
      <c r="O49" s="3" t="s">
        <v>182</v>
      </c>
      <c r="P49" t="s">
        <v>181</v>
      </c>
    </row>
    <row r="50" spans="1:16">
      <c r="A50" s="59">
        <v>109</v>
      </c>
      <c r="B50" t="s">
        <v>68</v>
      </c>
      <c r="C50" t="s">
        <v>141</v>
      </c>
      <c r="D50" s="60">
        <v>38953</v>
      </c>
      <c r="E50" s="60">
        <v>38955</v>
      </c>
      <c r="F50" s="60" t="str">
        <f t="shared" si="0"/>
        <v>Thursday</v>
      </c>
      <c r="G50" s="61" t="s">
        <v>1376</v>
      </c>
      <c r="H50" s="12">
        <v>55</v>
      </c>
      <c r="I50" s="12">
        <v>74</v>
      </c>
      <c r="J50" s="3" t="s">
        <v>169</v>
      </c>
      <c r="K50" t="s">
        <v>740</v>
      </c>
      <c r="L50" s="3" t="s">
        <v>182</v>
      </c>
      <c r="M50" s="27" t="s">
        <v>1553</v>
      </c>
      <c r="N50" s="27" t="s">
        <v>190</v>
      </c>
      <c r="O50" t="s">
        <v>182</v>
      </c>
      <c r="P50" t="s">
        <v>181</v>
      </c>
    </row>
    <row r="51" spans="1:16">
      <c r="A51" s="59">
        <v>109</v>
      </c>
      <c r="B51" t="s">
        <v>76</v>
      </c>
      <c r="C51" t="s">
        <v>141</v>
      </c>
      <c r="D51" s="60">
        <v>38988</v>
      </c>
      <c r="E51" s="60">
        <v>38988</v>
      </c>
      <c r="F51" s="60" t="str">
        <f t="shared" si="0"/>
        <v>Thursday</v>
      </c>
      <c r="G51" s="61" t="s">
        <v>1423</v>
      </c>
      <c r="H51" s="12">
        <v>6</v>
      </c>
      <c r="I51" s="12">
        <v>2926</v>
      </c>
      <c r="J51" t="s">
        <v>148</v>
      </c>
      <c r="K51" t="s">
        <v>740</v>
      </c>
      <c r="L51" s="3" t="s">
        <v>190</v>
      </c>
      <c r="M51" s="27" t="s">
        <v>1570</v>
      </c>
      <c r="N51" s="27" t="s">
        <v>182</v>
      </c>
      <c r="O51" t="s">
        <v>181</v>
      </c>
      <c r="P51" s="3" t="s">
        <v>190</v>
      </c>
    </row>
    <row r="52" spans="1:16">
      <c r="A52" s="59">
        <v>109</v>
      </c>
      <c r="B52" t="s">
        <v>95</v>
      </c>
      <c r="C52" t="s">
        <v>141</v>
      </c>
      <c r="D52" s="60">
        <v>38994</v>
      </c>
      <c r="E52" s="60">
        <v>39015</v>
      </c>
      <c r="F52" s="60" t="str">
        <f t="shared" si="0"/>
        <v>Wednesday</v>
      </c>
      <c r="G52" s="61" t="s">
        <v>1424</v>
      </c>
      <c r="H52" s="12">
        <v>12</v>
      </c>
      <c r="I52" s="12">
        <v>47</v>
      </c>
      <c r="J52" t="s">
        <v>146</v>
      </c>
      <c r="K52" t="s">
        <v>742</v>
      </c>
      <c r="L52" s="3" t="s">
        <v>190</v>
      </c>
      <c r="M52" s="27" t="s">
        <v>1571</v>
      </c>
      <c r="N52" s="27" t="s">
        <v>190</v>
      </c>
      <c r="O52" t="s">
        <v>182</v>
      </c>
      <c r="P52" t="s">
        <v>182</v>
      </c>
    </row>
    <row r="53" spans="1:16">
      <c r="A53" s="59">
        <v>109</v>
      </c>
      <c r="B53" t="s">
        <v>46</v>
      </c>
      <c r="C53" t="s">
        <v>142</v>
      </c>
      <c r="D53" s="60">
        <v>39001</v>
      </c>
      <c r="E53" s="60">
        <v>39002</v>
      </c>
      <c r="F53" s="60" t="str">
        <f t="shared" si="0"/>
        <v>Wednesday</v>
      </c>
      <c r="G53" s="61" t="s">
        <v>1425</v>
      </c>
      <c r="H53" s="12">
        <v>92</v>
      </c>
      <c r="I53" s="12">
        <v>201</v>
      </c>
      <c r="J53" t="s">
        <v>158</v>
      </c>
      <c r="K53" t="s">
        <v>742</v>
      </c>
      <c r="L53" s="3" t="s">
        <v>190</v>
      </c>
      <c r="M53" s="27" t="s">
        <v>190</v>
      </c>
      <c r="N53" s="27" t="s">
        <v>190</v>
      </c>
      <c r="O53" t="s">
        <v>182</v>
      </c>
      <c r="P53" t="s">
        <v>182</v>
      </c>
    </row>
    <row r="54" spans="1:16">
      <c r="A54" s="59">
        <v>109</v>
      </c>
      <c r="B54" t="s">
        <v>51</v>
      </c>
      <c r="C54" t="s">
        <v>141</v>
      </c>
      <c r="D54" s="60">
        <v>39005</v>
      </c>
      <c r="E54" s="60">
        <v>39017</v>
      </c>
      <c r="F54" s="60" t="str">
        <f t="shared" si="0"/>
        <v>Sunday</v>
      </c>
      <c r="G54" s="61" t="s">
        <v>1426</v>
      </c>
      <c r="H54" s="12">
        <v>1</v>
      </c>
      <c r="I54" s="12">
        <v>55</v>
      </c>
      <c r="J54" t="s">
        <v>148</v>
      </c>
      <c r="K54" t="s">
        <v>740</v>
      </c>
      <c r="L54" s="3" t="s">
        <v>190</v>
      </c>
      <c r="M54" s="27" t="s">
        <v>588</v>
      </c>
      <c r="N54" s="27" t="s">
        <v>190</v>
      </c>
      <c r="O54" s="3" t="s">
        <v>181</v>
      </c>
      <c r="P54" s="3" t="s">
        <v>190</v>
      </c>
    </row>
    <row r="55" spans="1:16">
      <c r="A55" s="59">
        <v>109</v>
      </c>
      <c r="B55" t="s">
        <v>46</v>
      </c>
      <c r="C55" t="s">
        <v>142</v>
      </c>
      <c r="D55" s="60">
        <v>39006</v>
      </c>
      <c r="E55" s="60">
        <v>39007</v>
      </c>
      <c r="F55" s="60" t="str">
        <f t="shared" si="0"/>
        <v>Monday</v>
      </c>
      <c r="G55" s="61" t="s">
        <v>1360</v>
      </c>
      <c r="H55" s="12">
        <v>201</v>
      </c>
      <c r="I55" s="12">
        <v>265</v>
      </c>
      <c r="J55" s="3" t="s">
        <v>145</v>
      </c>
      <c r="K55" t="s">
        <v>741</v>
      </c>
      <c r="L55" s="3" t="s">
        <v>190</v>
      </c>
      <c r="M55" s="27" t="s">
        <v>190</v>
      </c>
      <c r="N55" s="27" t="s">
        <v>190</v>
      </c>
      <c r="O55" t="s">
        <v>182</v>
      </c>
      <c r="P55" t="s">
        <v>182</v>
      </c>
    </row>
    <row r="56" spans="1:16">
      <c r="A56" s="59">
        <v>109</v>
      </c>
      <c r="B56" t="s">
        <v>60</v>
      </c>
      <c r="C56" t="s">
        <v>141</v>
      </c>
      <c r="D56" s="60">
        <v>39008</v>
      </c>
      <c r="E56" s="60">
        <v>39009</v>
      </c>
      <c r="F56" s="60" t="str">
        <f t="shared" si="0"/>
        <v>Wednesday</v>
      </c>
      <c r="G56" s="61" t="s">
        <v>751</v>
      </c>
      <c r="H56" s="12">
        <v>66</v>
      </c>
      <c r="I56" s="12">
        <v>98</v>
      </c>
      <c r="J56" t="s">
        <v>158</v>
      </c>
      <c r="K56" t="s">
        <v>742</v>
      </c>
      <c r="L56" s="3" t="s">
        <v>190</v>
      </c>
      <c r="M56" s="27" t="s">
        <v>190</v>
      </c>
      <c r="N56" s="27" t="s">
        <v>190</v>
      </c>
      <c r="O56" t="s">
        <v>182</v>
      </c>
      <c r="P56" t="s">
        <v>182</v>
      </c>
    </row>
    <row r="57" spans="1:16">
      <c r="A57" s="59">
        <v>109</v>
      </c>
      <c r="B57" t="s">
        <v>51</v>
      </c>
      <c r="C57" t="s">
        <v>141</v>
      </c>
      <c r="D57" s="60">
        <v>39014</v>
      </c>
      <c r="E57" s="60">
        <v>39017</v>
      </c>
      <c r="F57" s="60" t="str">
        <f t="shared" si="0"/>
        <v>Tuesday</v>
      </c>
      <c r="G57" s="61" t="s">
        <v>1427</v>
      </c>
      <c r="H57" s="12">
        <v>110</v>
      </c>
      <c r="I57" s="12">
        <v>178</v>
      </c>
      <c r="J57" t="s">
        <v>161</v>
      </c>
      <c r="K57" t="s">
        <v>740</v>
      </c>
      <c r="L57" s="3" t="s">
        <v>190</v>
      </c>
      <c r="M57" s="27" t="s">
        <v>588</v>
      </c>
      <c r="N57" s="27" t="s">
        <v>190</v>
      </c>
      <c r="O57" s="3" t="s">
        <v>181</v>
      </c>
      <c r="P57" s="3" t="s">
        <v>190</v>
      </c>
    </row>
    <row r="58" spans="1:16">
      <c r="A58" s="59">
        <v>109</v>
      </c>
      <c r="B58" t="s">
        <v>95</v>
      </c>
      <c r="C58" t="s">
        <v>141</v>
      </c>
      <c r="D58" s="60">
        <v>39015</v>
      </c>
      <c r="E58" s="60">
        <v>39015</v>
      </c>
      <c r="F58" s="60" t="str">
        <f t="shared" si="0"/>
        <v>Wednesday</v>
      </c>
      <c r="G58" s="61" t="s">
        <v>1428</v>
      </c>
      <c r="H58" s="12">
        <v>8</v>
      </c>
      <c r="I58" s="12">
        <v>22</v>
      </c>
      <c r="J58" t="s">
        <v>146</v>
      </c>
      <c r="K58" t="s">
        <v>742</v>
      </c>
      <c r="L58" s="3" t="s">
        <v>190</v>
      </c>
      <c r="M58" s="27" t="s">
        <v>1572</v>
      </c>
      <c r="N58" s="27" t="s">
        <v>190</v>
      </c>
      <c r="O58" t="s">
        <v>182</v>
      </c>
      <c r="P58" t="s">
        <v>182</v>
      </c>
    </row>
    <row r="59" spans="1:16">
      <c r="A59" s="59">
        <v>109</v>
      </c>
      <c r="B59" t="s">
        <v>51</v>
      </c>
      <c r="C59" t="s">
        <v>141</v>
      </c>
      <c r="D59" s="60">
        <v>39022</v>
      </c>
      <c r="E59" s="60">
        <v>39022</v>
      </c>
      <c r="F59" s="60" t="str">
        <f t="shared" si="0"/>
        <v>Wednesday</v>
      </c>
      <c r="G59" s="61" t="s">
        <v>752</v>
      </c>
      <c r="H59" s="12">
        <v>233</v>
      </c>
      <c r="I59" s="12">
        <v>238</v>
      </c>
      <c r="J59" t="s">
        <v>146</v>
      </c>
      <c r="K59" t="s">
        <v>742</v>
      </c>
      <c r="L59" s="3" t="s">
        <v>190</v>
      </c>
      <c r="M59" s="27" t="s">
        <v>588</v>
      </c>
      <c r="N59" s="27" t="s">
        <v>190</v>
      </c>
      <c r="O59" s="3" t="s">
        <v>181</v>
      </c>
      <c r="P59" s="3" t="s">
        <v>190</v>
      </c>
    </row>
    <row r="60" spans="1:16">
      <c r="A60" s="59">
        <v>109</v>
      </c>
      <c r="B60" t="s">
        <v>60</v>
      </c>
      <c r="C60" t="s">
        <v>141</v>
      </c>
      <c r="D60" s="60">
        <v>39022</v>
      </c>
      <c r="E60" s="60">
        <v>39022</v>
      </c>
      <c r="F60" s="60" t="str">
        <f t="shared" si="0"/>
        <v>Wednesday</v>
      </c>
      <c r="G60" s="61" t="s">
        <v>1429</v>
      </c>
      <c r="H60" s="12">
        <v>82</v>
      </c>
      <c r="I60" s="12">
        <v>172</v>
      </c>
      <c r="J60" t="s">
        <v>147</v>
      </c>
      <c r="K60" t="s">
        <v>740</v>
      </c>
      <c r="L60" s="3" t="s">
        <v>190</v>
      </c>
      <c r="M60" s="27" t="s">
        <v>190</v>
      </c>
      <c r="N60" s="27" t="s">
        <v>190</v>
      </c>
      <c r="O60" t="s">
        <v>182</v>
      </c>
      <c r="P60" t="s">
        <v>182</v>
      </c>
    </row>
    <row r="61" spans="1:16">
      <c r="A61" s="59">
        <v>109</v>
      </c>
      <c r="B61" t="s">
        <v>46</v>
      </c>
      <c r="C61" t="s">
        <v>142</v>
      </c>
      <c r="D61" s="60">
        <v>39034</v>
      </c>
      <c r="E61" s="60">
        <v>39035</v>
      </c>
      <c r="F61" s="60" t="str">
        <f t="shared" si="0"/>
        <v>Monday</v>
      </c>
      <c r="G61" s="61" t="s">
        <v>1430</v>
      </c>
      <c r="H61" s="12">
        <v>1620</v>
      </c>
      <c r="I61" s="12">
        <v>1137</v>
      </c>
      <c r="J61" s="3" t="s">
        <v>168</v>
      </c>
      <c r="K61" t="s">
        <v>741</v>
      </c>
      <c r="L61" s="3" t="s">
        <v>190</v>
      </c>
      <c r="M61" s="27" t="s">
        <v>190</v>
      </c>
      <c r="N61" s="27" t="s">
        <v>190</v>
      </c>
      <c r="O61" t="s">
        <v>182</v>
      </c>
      <c r="P61" t="s">
        <v>182</v>
      </c>
    </row>
    <row r="62" spans="1:16">
      <c r="A62" s="59">
        <v>109</v>
      </c>
      <c r="B62" t="s">
        <v>130</v>
      </c>
      <c r="C62" t="s">
        <v>141</v>
      </c>
      <c r="D62" s="60">
        <v>39070</v>
      </c>
      <c r="E62" s="60">
        <v>39072</v>
      </c>
      <c r="F62" s="60" t="str">
        <f t="shared" si="0"/>
        <v>Tuesday</v>
      </c>
      <c r="G62" s="61" t="s">
        <v>1377</v>
      </c>
      <c r="H62" s="12">
        <v>0</v>
      </c>
      <c r="I62" s="12">
        <v>345</v>
      </c>
      <c r="J62" s="3" t="s">
        <v>1344</v>
      </c>
      <c r="K62" t="s">
        <v>740</v>
      </c>
      <c r="L62" s="3" t="s">
        <v>182</v>
      </c>
      <c r="M62" s="27" t="s">
        <v>190</v>
      </c>
      <c r="N62" s="27" t="s">
        <v>190</v>
      </c>
      <c r="O62" t="s">
        <v>182</v>
      </c>
      <c r="P62" t="s">
        <v>182</v>
      </c>
    </row>
    <row r="63" spans="1:16">
      <c r="A63" s="59">
        <v>110</v>
      </c>
      <c r="B63" t="s">
        <v>92</v>
      </c>
      <c r="C63" t="s">
        <v>142</v>
      </c>
      <c r="D63" s="60">
        <v>39142</v>
      </c>
      <c r="E63" s="60">
        <v>39142</v>
      </c>
      <c r="F63" s="60" t="str">
        <f t="shared" si="0"/>
        <v>Thursday</v>
      </c>
      <c r="G63" s="61" t="s">
        <v>1431</v>
      </c>
      <c r="H63" s="12">
        <v>34</v>
      </c>
      <c r="I63" s="12">
        <v>155</v>
      </c>
      <c r="J63" s="3" t="s">
        <v>156</v>
      </c>
      <c r="K63" t="s">
        <v>741</v>
      </c>
      <c r="L63" s="3" t="s">
        <v>190</v>
      </c>
      <c r="M63" s="27" t="s">
        <v>1573</v>
      </c>
      <c r="N63" s="27" t="s">
        <v>190</v>
      </c>
      <c r="O63" t="s">
        <v>181</v>
      </c>
      <c r="P63" s="3" t="s">
        <v>190</v>
      </c>
    </row>
    <row r="64" spans="1:16">
      <c r="A64" s="59">
        <v>110</v>
      </c>
      <c r="B64" t="s">
        <v>47</v>
      </c>
      <c r="C64" t="s">
        <v>141</v>
      </c>
      <c r="D64" s="60">
        <v>39143</v>
      </c>
      <c r="E64" s="60">
        <v>39147</v>
      </c>
      <c r="F64" s="60" t="str">
        <f t="shared" si="0"/>
        <v>Friday</v>
      </c>
      <c r="G64" s="61" t="s">
        <v>1432</v>
      </c>
      <c r="H64" s="12">
        <v>15</v>
      </c>
      <c r="I64" s="12">
        <v>150</v>
      </c>
      <c r="J64" s="3" t="s">
        <v>156</v>
      </c>
      <c r="K64" t="s">
        <v>741</v>
      </c>
      <c r="L64" s="3" t="s">
        <v>190</v>
      </c>
      <c r="M64" s="27" t="s">
        <v>1574</v>
      </c>
      <c r="N64" s="27" t="s">
        <v>190</v>
      </c>
      <c r="O64" t="s">
        <v>182</v>
      </c>
      <c r="P64" t="s">
        <v>181</v>
      </c>
    </row>
    <row r="65" spans="1:16">
      <c r="A65" s="59">
        <v>110</v>
      </c>
      <c r="B65" t="s">
        <v>97</v>
      </c>
      <c r="C65" t="s">
        <v>141</v>
      </c>
      <c r="D65" s="60">
        <v>39147</v>
      </c>
      <c r="E65" s="60">
        <v>39148</v>
      </c>
      <c r="F65" s="60" t="str">
        <f t="shared" si="0"/>
        <v>Tuesday</v>
      </c>
      <c r="G65" s="61" t="s">
        <v>1433</v>
      </c>
      <c r="H65" s="12">
        <v>6</v>
      </c>
      <c r="I65" s="12">
        <v>84</v>
      </c>
      <c r="J65" s="3" t="s">
        <v>168</v>
      </c>
      <c r="K65" s="3" t="s">
        <v>740</v>
      </c>
      <c r="L65" s="3" t="s">
        <v>190</v>
      </c>
      <c r="M65" s="27" t="s">
        <v>190</v>
      </c>
      <c r="N65" s="27" t="s">
        <v>190</v>
      </c>
      <c r="O65" t="s">
        <v>182</v>
      </c>
      <c r="P65" t="s">
        <v>182</v>
      </c>
    </row>
    <row r="66" spans="1:16">
      <c r="A66" s="59">
        <v>110</v>
      </c>
      <c r="B66" t="s">
        <v>95</v>
      </c>
      <c r="C66" t="s">
        <v>141</v>
      </c>
      <c r="D66" s="60">
        <v>39192</v>
      </c>
      <c r="E66" s="60">
        <v>39193</v>
      </c>
      <c r="F66" s="60" t="str">
        <f t="shared" ref="F66:F129" si="1">TEXT(D66,"dddd")</f>
        <v>Friday</v>
      </c>
      <c r="G66" s="61" t="s">
        <v>1434</v>
      </c>
      <c r="H66" s="12">
        <v>9</v>
      </c>
      <c r="I66" s="12">
        <v>54</v>
      </c>
      <c r="J66" s="3" t="s">
        <v>168</v>
      </c>
      <c r="K66" t="s">
        <v>741</v>
      </c>
      <c r="L66" s="3" t="s">
        <v>190</v>
      </c>
      <c r="M66" s="27" t="s">
        <v>1572</v>
      </c>
      <c r="N66" s="27" t="s">
        <v>190</v>
      </c>
      <c r="O66" t="s">
        <v>181</v>
      </c>
      <c r="P66" s="3" t="s">
        <v>190</v>
      </c>
    </row>
    <row r="67" spans="1:16">
      <c r="A67" s="59">
        <v>110</v>
      </c>
      <c r="B67" s="3" t="s">
        <v>117</v>
      </c>
      <c r="C67" t="s">
        <v>142</v>
      </c>
      <c r="D67" s="60">
        <v>39231</v>
      </c>
      <c r="E67" s="60">
        <v>39241</v>
      </c>
      <c r="F67" s="60" t="str">
        <f t="shared" si="1"/>
        <v>Tuesday</v>
      </c>
      <c r="G67" s="61" t="s">
        <v>1435</v>
      </c>
      <c r="H67" s="12">
        <v>23</v>
      </c>
      <c r="I67" s="12">
        <v>54</v>
      </c>
      <c r="J67" t="s">
        <v>146</v>
      </c>
      <c r="K67" t="s">
        <v>742</v>
      </c>
      <c r="L67" s="3" t="s">
        <v>190</v>
      </c>
      <c r="M67" s="27" t="s">
        <v>1575</v>
      </c>
      <c r="N67" s="27" t="s">
        <v>190</v>
      </c>
      <c r="O67" t="s">
        <v>182</v>
      </c>
      <c r="P67" t="s">
        <v>181</v>
      </c>
    </row>
    <row r="68" spans="1:16">
      <c r="A68" s="59">
        <v>110</v>
      </c>
      <c r="B68" t="s">
        <v>30</v>
      </c>
      <c r="C68" t="s">
        <v>141</v>
      </c>
      <c r="D68" s="60">
        <v>39239</v>
      </c>
      <c r="E68" s="60">
        <v>39240</v>
      </c>
      <c r="F68" s="60" t="str">
        <f t="shared" si="1"/>
        <v>Wednesday</v>
      </c>
      <c r="G68" s="61" t="s">
        <v>1436</v>
      </c>
      <c r="H68" s="12">
        <v>47</v>
      </c>
      <c r="I68" s="12">
        <v>130</v>
      </c>
      <c r="J68" t="s">
        <v>146</v>
      </c>
      <c r="K68" t="s">
        <v>742</v>
      </c>
      <c r="L68" s="3" t="s">
        <v>190</v>
      </c>
      <c r="M68" s="27" t="s">
        <v>1576</v>
      </c>
      <c r="N68" s="27" t="s">
        <v>190</v>
      </c>
      <c r="O68" t="s">
        <v>182</v>
      </c>
      <c r="P68" t="s">
        <v>182</v>
      </c>
    </row>
    <row r="69" spans="1:16">
      <c r="A69" s="59">
        <v>110</v>
      </c>
      <c r="B69" t="s">
        <v>26</v>
      </c>
      <c r="C69" t="s">
        <v>142</v>
      </c>
      <c r="D69" s="60">
        <v>39272</v>
      </c>
      <c r="E69" s="60">
        <v>39273</v>
      </c>
      <c r="F69" s="60" t="str">
        <f t="shared" si="1"/>
        <v>Monday</v>
      </c>
      <c r="G69" s="61" t="s">
        <v>1437</v>
      </c>
      <c r="H69" s="12">
        <v>5</v>
      </c>
      <c r="I69" s="12">
        <v>1239</v>
      </c>
      <c r="J69" s="3" t="s">
        <v>174</v>
      </c>
      <c r="K69" t="s">
        <v>740</v>
      </c>
      <c r="L69" s="3" t="s">
        <v>190</v>
      </c>
      <c r="M69" s="27" t="s">
        <v>190</v>
      </c>
      <c r="N69" s="27" t="s">
        <v>190</v>
      </c>
      <c r="O69" t="s">
        <v>182</v>
      </c>
      <c r="P69" t="s">
        <v>182</v>
      </c>
    </row>
    <row r="70" spans="1:16">
      <c r="A70" s="59">
        <v>110</v>
      </c>
      <c r="B70" t="s">
        <v>15</v>
      </c>
      <c r="C70" t="s">
        <v>141</v>
      </c>
      <c r="D70" s="60">
        <v>39274</v>
      </c>
      <c r="E70" s="60">
        <v>39408</v>
      </c>
      <c r="F70" s="60" t="str">
        <f t="shared" si="1"/>
        <v>Wednesday</v>
      </c>
      <c r="G70" s="61" t="s">
        <v>1438</v>
      </c>
      <c r="H70" s="12">
        <v>62</v>
      </c>
      <c r="I70" s="12">
        <v>48</v>
      </c>
      <c r="J70" s="3" t="s">
        <v>185</v>
      </c>
      <c r="K70" t="s">
        <v>741</v>
      </c>
      <c r="L70" s="3" t="s">
        <v>190</v>
      </c>
      <c r="M70" s="27" t="s">
        <v>190</v>
      </c>
      <c r="N70" s="27" t="s">
        <v>190</v>
      </c>
      <c r="O70" t="s">
        <v>182</v>
      </c>
      <c r="P70" t="s">
        <v>182</v>
      </c>
    </row>
    <row r="71" spans="1:16" ht="16">
      <c r="A71" s="59">
        <v>110</v>
      </c>
      <c r="B71" t="s">
        <v>74</v>
      </c>
      <c r="C71" t="s">
        <v>142</v>
      </c>
      <c r="D71" s="60">
        <v>39282</v>
      </c>
      <c r="E71" s="60">
        <v>39290</v>
      </c>
      <c r="F71" s="60" t="str">
        <f t="shared" si="1"/>
        <v>Thursday</v>
      </c>
      <c r="G71" s="61" t="s">
        <v>753</v>
      </c>
      <c r="H71" s="57">
        <v>19</v>
      </c>
      <c r="I71" s="57">
        <v>29</v>
      </c>
      <c r="J71" s="3" t="s">
        <v>168</v>
      </c>
      <c r="K71" t="s">
        <v>741</v>
      </c>
      <c r="L71" s="3" t="s">
        <v>190</v>
      </c>
      <c r="M71" s="27" t="s">
        <v>190</v>
      </c>
      <c r="N71" s="27" t="s">
        <v>190</v>
      </c>
      <c r="O71" t="s">
        <v>182</v>
      </c>
      <c r="P71" t="s">
        <v>182</v>
      </c>
    </row>
    <row r="72" spans="1:16">
      <c r="A72" s="59">
        <v>110</v>
      </c>
      <c r="B72" t="s">
        <v>30</v>
      </c>
      <c r="C72" t="s">
        <v>141</v>
      </c>
      <c r="D72" s="60">
        <v>39288</v>
      </c>
      <c r="E72" s="60">
        <v>39288</v>
      </c>
      <c r="F72" s="60" t="str">
        <f t="shared" si="1"/>
        <v>Wednesday</v>
      </c>
      <c r="G72" s="62" t="s">
        <v>1439</v>
      </c>
      <c r="H72" s="12">
        <v>86</v>
      </c>
      <c r="I72" s="12">
        <v>162</v>
      </c>
      <c r="J72" t="s">
        <v>146</v>
      </c>
      <c r="K72" t="s">
        <v>742</v>
      </c>
      <c r="L72" s="3" t="s">
        <v>190</v>
      </c>
      <c r="M72" s="27" t="s">
        <v>190</v>
      </c>
      <c r="N72" s="27" t="s">
        <v>190</v>
      </c>
      <c r="O72" t="s">
        <v>182</v>
      </c>
      <c r="P72" t="s">
        <v>182</v>
      </c>
    </row>
    <row r="73" spans="1:16">
      <c r="A73" s="59">
        <v>110</v>
      </c>
      <c r="B73" t="s">
        <v>99</v>
      </c>
      <c r="C73" t="s">
        <v>141</v>
      </c>
      <c r="D73" s="60">
        <v>39314</v>
      </c>
      <c r="E73" s="60">
        <v>39315</v>
      </c>
      <c r="F73" s="60" t="str">
        <f t="shared" si="1"/>
        <v>Monday</v>
      </c>
      <c r="G73" s="61" t="s">
        <v>1440</v>
      </c>
      <c r="H73" s="12">
        <v>6</v>
      </c>
      <c r="I73" s="12">
        <v>142</v>
      </c>
      <c r="J73" s="3" t="s">
        <v>157</v>
      </c>
      <c r="K73" t="s">
        <v>740</v>
      </c>
      <c r="L73" s="3" t="s">
        <v>190</v>
      </c>
      <c r="M73" s="27" t="s">
        <v>1578</v>
      </c>
      <c r="N73" s="27" t="s">
        <v>190</v>
      </c>
      <c r="O73" t="s">
        <v>182</v>
      </c>
      <c r="P73" t="s">
        <v>182</v>
      </c>
    </row>
    <row r="74" spans="1:16">
      <c r="A74" s="59">
        <v>110</v>
      </c>
      <c r="B74" t="s">
        <v>72</v>
      </c>
      <c r="C74" t="s">
        <v>142</v>
      </c>
      <c r="D74" s="60">
        <v>39321</v>
      </c>
      <c r="E74" s="60">
        <v>39322</v>
      </c>
      <c r="F74" s="60" t="str">
        <f t="shared" si="1"/>
        <v>Monday</v>
      </c>
      <c r="G74" s="61" t="s">
        <v>1441</v>
      </c>
      <c r="H74" s="12">
        <v>7</v>
      </c>
      <c r="I74" s="12">
        <v>3115</v>
      </c>
      <c r="J74" t="s">
        <v>160</v>
      </c>
      <c r="K74" t="s">
        <v>740</v>
      </c>
      <c r="L74" s="3" t="s">
        <v>190</v>
      </c>
      <c r="M74" s="27" t="s">
        <v>1577</v>
      </c>
      <c r="N74" s="27" t="s">
        <v>182</v>
      </c>
      <c r="O74" t="s">
        <v>181</v>
      </c>
      <c r="P74" s="3" t="s">
        <v>190</v>
      </c>
    </row>
    <row r="75" spans="1:16">
      <c r="A75" s="59">
        <v>110</v>
      </c>
      <c r="B75" t="s">
        <v>43</v>
      </c>
      <c r="C75" t="s">
        <v>141</v>
      </c>
      <c r="D75" s="60">
        <v>39332</v>
      </c>
      <c r="E75" s="60">
        <v>39481</v>
      </c>
      <c r="F75" s="60" t="str">
        <f t="shared" si="1"/>
        <v>Friday</v>
      </c>
      <c r="G75" s="61" t="s">
        <v>1442</v>
      </c>
      <c r="H75" s="12">
        <v>2</v>
      </c>
      <c r="I75" s="12">
        <v>7</v>
      </c>
      <c r="J75" t="s">
        <v>154</v>
      </c>
      <c r="K75" t="s">
        <v>741</v>
      </c>
      <c r="L75" s="3" t="s">
        <v>190</v>
      </c>
      <c r="M75" s="27" t="s">
        <v>1579</v>
      </c>
      <c r="N75" s="27" t="s">
        <v>190</v>
      </c>
      <c r="O75" t="s">
        <v>181</v>
      </c>
      <c r="P75" s="3" t="s">
        <v>190</v>
      </c>
    </row>
    <row r="76" spans="1:16">
      <c r="A76" s="59">
        <v>110</v>
      </c>
      <c r="B76" t="s">
        <v>81</v>
      </c>
      <c r="C76" t="s">
        <v>142</v>
      </c>
      <c r="D76" s="60">
        <v>39436</v>
      </c>
      <c r="E76" s="60">
        <v>39436</v>
      </c>
      <c r="F76" s="60" t="str">
        <f t="shared" si="1"/>
        <v>Thursday</v>
      </c>
      <c r="G76" s="61" t="s">
        <v>1443</v>
      </c>
      <c r="H76" s="12">
        <v>22</v>
      </c>
      <c r="I76" s="12">
        <v>28</v>
      </c>
      <c r="J76" t="s">
        <v>146</v>
      </c>
      <c r="K76" t="s">
        <v>742</v>
      </c>
      <c r="L76" s="3" t="s">
        <v>190</v>
      </c>
      <c r="M76" s="27" t="s">
        <v>190</v>
      </c>
      <c r="N76" s="27" t="s">
        <v>190</v>
      </c>
      <c r="O76" t="s">
        <v>182</v>
      </c>
      <c r="P76" t="s">
        <v>182</v>
      </c>
    </row>
    <row r="77" spans="1:16">
      <c r="A77" s="59">
        <v>110</v>
      </c>
      <c r="B77" t="s">
        <v>105</v>
      </c>
      <c r="C77" t="s">
        <v>141</v>
      </c>
      <c r="D77" s="60">
        <v>39454</v>
      </c>
      <c r="E77" s="60">
        <v>40897</v>
      </c>
      <c r="F77" s="60" t="str">
        <f t="shared" si="1"/>
        <v>Monday</v>
      </c>
      <c r="G77" s="61" t="s">
        <v>1378</v>
      </c>
      <c r="H77" s="12">
        <v>1285</v>
      </c>
      <c r="I77" s="12">
        <v>2144</v>
      </c>
      <c r="J77" s="3" t="s">
        <v>1345</v>
      </c>
      <c r="K77" t="s">
        <v>740</v>
      </c>
      <c r="L77" s="3" t="s">
        <v>182</v>
      </c>
      <c r="M77" s="27" t="s">
        <v>1552</v>
      </c>
      <c r="N77" s="27" t="s">
        <v>190</v>
      </c>
      <c r="O77" t="s">
        <v>182</v>
      </c>
      <c r="P77" t="s">
        <v>182</v>
      </c>
    </row>
    <row r="78" spans="1:16">
      <c r="A78" s="59">
        <v>110</v>
      </c>
      <c r="B78" t="s">
        <v>16</v>
      </c>
      <c r="C78" t="s">
        <v>141</v>
      </c>
      <c r="D78" s="60">
        <v>39547</v>
      </c>
      <c r="E78" s="60">
        <v>39547</v>
      </c>
      <c r="F78" s="60" t="str">
        <f t="shared" si="1"/>
        <v>Wednesday</v>
      </c>
      <c r="G78" s="61" t="s">
        <v>1444</v>
      </c>
      <c r="H78" s="12">
        <v>2</v>
      </c>
      <c r="I78" s="12">
        <v>14</v>
      </c>
      <c r="J78" t="s">
        <v>146</v>
      </c>
      <c r="K78" t="s">
        <v>742</v>
      </c>
      <c r="L78" s="3" t="s">
        <v>190</v>
      </c>
      <c r="M78" s="27" t="s">
        <v>190</v>
      </c>
      <c r="N78" s="27" t="s">
        <v>190</v>
      </c>
      <c r="O78" t="s">
        <v>182</v>
      </c>
      <c r="P78" t="s">
        <v>182</v>
      </c>
    </row>
    <row r="79" spans="1:16">
      <c r="A79" s="59">
        <v>110</v>
      </c>
      <c r="B79" t="s">
        <v>131</v>
      </c>
      <c r="C79" t="s">
        <v>141</v>
      </c>
      <c r="D79" s="60">
        <v>39569</v>
      </c>
      <c r="E79" s="60">
        <v>39570</v>
      </c>
      <c r="F79" s="60" t="str">
        <f t="shared" si="1"/>
        <v>Thursday</v>
      </c>
      <c r="G79" s="61" t="s">
        <v>1361</v>
      </c>
      <c r="H79" s="12">
        <v>4</v>
      </c>
      <c r="I79" s="12">
        <v>44</v>
      </c>
      <c r="J79" s="3" t="s">
        <v>171</v>
      </c>
      <c r="K79" t="s">
        <v>740</v>
      </c>
      <c r="L79" s="3" t="s">
        <v>190</v>
      </c>
      <c r="M79" s="27" t="s">
        <v>1580</v>
      </c>
      <c r="N79" s="27" t="s">
        <v>190</v>
      </c>
      <c r="O79" t="s">
        <v>181</v>
      </c>
      <c r="P79" s="3" t="s">
        <v>190</v>
      </c>
    </row>
    <row r="80" spans="1:16">
      <c r="A80" s="59">
        <v>110</v>
      </c>
      <c r="B80" t="s">
        <v>131</v>
      </c>
      <c r="C80" t="s">
        <v>141</v>
      </c>
      <c r="D80" s="60">
        <v>39572</v>
      </c>
      <c r="E80" s="60">
        <v>39572</v>
      </c>
      <c r="F80" s="60" t="str">
        <f t="shared" si="1"/>
        <v>Sunday</v>
      </c>
      <c r="G80" s="61" t="s">
        <v>1445</v>
      </c>
      <c r="H80" s="12">
        <v>35</v>
      </c>
      <c r="I80" s="12">
        <v>73</v>
      </c>
      <c r="J80" t="s">
        <v>160</v>
      </c>
      <c r="K80" t="s">
        <v>740</v>
      </c>
      <c r="L80" s="3" t="s">
        <v>190</v>
      </c>
      <c r="M80" s="27" t="s">
        <v>1581</v>
      </c>
      <c r="N80" s="27" t="s">
        <v>190</v>
      </c>
      <c r="O80" t="s">
        <v>181</v>
      </c>
      <c r="P80" s="3" t="s">
        <v>190</v>
      </c>
    </row>
    <row r="81" spans="1:16">
      <c r="A81" s="59">
        <v>110</v>
      </c>
      <c r="B81" t="s">
        <v>73</v>
      </c>
      <c r="C81" t="s">
        <v>141</v>
      </c>
      <c r="D81" s="60">
        <v>39590</v>
      </c>
      <c r="E81" s="60">
        <v>39611</v>
      </c>
      <c r="F81" s="60" t="str">
        <f t="shared" si="1"/>
        <v>Thursday</v>
      </c>
      <c r="G81" s="61" t="s">
        <v>1446</v>
      </c>
      <c r="H81" s="12">
        <v>0</v>
      </c>
      <c r="I81" s="12">
        <v>15</v>
      </c>
      <c r="J81" t="s">
        <v>170</v>
      </c>
      <c r="K81" t="s">
        <v>740</v>
      </c>
      <c r="L81" s="3" t="s">
        <v>190</v>
      </c>
      <c r="M81" s="27" t="s">
        <v>190</v>
      </c>
      <c r="N81" s="27" t="s">
        <v>190</v>
      </c>
      <c r="O81" t="s">
        <v>182</v>
      </c>
      <c r="P81" t="s">
        <v>182</v>
      </c>
    </row>
    <row r="82" spans="1:16">
      <c r="A82" s="59">
        <v>110</v>
      </c>
      <c r="B82" t="s">
        <v>129</v>
      </c>
      <c r="C82" t="s">
        <v>141</v>
      </c>
      <c r="D82" s="60">
        <v>39601</v>
      </c>
      <c r="E82" s="60">
        <v>39673</v>
      </c>
      <c r="F82" s="60" t="str">
        <f t="shared" si="1"/>
        <v>Monday</v>
      </c>
      <c r="G82" s="61" t="s">
        <v>1447</v>
      </c>
      <c r="H82" s="12">
        <v>5</v>
      </c>
      <c r="I82" s="12">
        <v>9</v>
      </c>
      <c r="J82" t="s">
        <v>152</v>
      </c>
      <c r="K82" t="s">
        <v>741</v>
      </c>
      <c r="L82" s="3" t="s">
        <v>190</v>
      </c>
      <c r="M82" s="27" t="s">
        <v>190</v>
      </c>
      <c r="N82" s="27" t="s">
        <v>190</v>
      </c>
      <c r="O82" t="s">
        <v>182</v>
      </c>
      <c r="P82" t="s">
        <v>182</v>
      </c>
    </row>
    <row r="83" spans="1:16">
      <c r="A83" s="59">
        <v>115</v>
      </c>
      <c r="B83" t="s">
        <v>19</v>
      </c>
      <c r="C83" t="s">
        <v>142</v>
      </c>
      <c r="D83" s="60">
        <v>39612</v>
      </c>
      <c r="E83" s="60">
        <v>39612</v>
      </c>
      <c r="F83" s="60" t="str">
        <f t="shared" si="1"/>
        <v>Friday</v>
      </c>
      <c r="G83" s="61" t="s">
        <v>754</v>
      </c>
      <c r="H83" s="12">
        <v>100</v>
      </c>
      <c r="I83" s="12">
        <v>161</v>
      </c>
      <c r="J83" s="3" t="s">
        <v>150</v>
      </c>
      <c r="K83" t="s">
        <v>742</v>
      </c>
      <c r="L83" s="3" t="s">
        <v>190</v>
      </c>
      <c r="M83" s="27" t="s">
        <v>1582</v>
      </c>
      <c r="N83" s="27" t="s">
        <v>190</v>
      </c>
      <c r="O83" t="s">
        <v>181</v>
      </c>
      <c r="P83" s="3" t="s">
        <v>190</v>
      </c>
    </row>
    <row r="84" spans="1:16">
      <c r="A84" s="59">
        <v>110</v>
      </c>
      <c r="B84" t="s">
        <v>41</v>
      </c>
      <c r="C84" t="s">
        <v>142</v>
      </c>
      <c r="D84" s="60">
        <v>39612</v>
      </c>
      <c r="E84" s="60">
        <v>39612</v>
      </c>
      <c r="F84" s="60" t="str">
        <f t="shared" si="1"/>
        <v>Friday</v>
      </c>
      <c r="G84" s="61" t="s">
        <v>755</v>
      </c>
      <c r="H84" s="12">
        <v>66</v>
      </c>
      <c r="I84" s="12">
        <v>103</v>
      </c>
      <c r="J84" s="3" t="s">
        <v>150</v>
      </c>
      <c r="K84" t="s">
        <v>742</v>
      </c>
      <c r="L84" s="3" t="s">
        <v>190</v>
      </c>
      <c r="M84" s="27" t="s">
        <v>1582</v>
      </c>
      <c r="N84" s="27" t="s">
        <v>190</v>
      </c>
      <c r="O84" t="s">
        <v>181</v>
      </c>
      <c r="P84" s="3" t="s">
        <v>190</v>
      </c>
    </row>
    <row r="85" spans="1:16">
      <c r="A85" s="59">
        <v>110</v>
      </c>
      <c r="B85" t="s">
        <v>13</v>
      </c>
      <c r="C85" t="s">
        <v>141</v>
      </c>
      <c r="D85" s="60">
        <v>39640</v>
      </c>
      <c r="E85" s="60">
        <v>39640</v>
      </c>
      <c r="F85" s="60" t="str">
        <f t="shared" si="1"/>
        <v>Friday</v>
      </c>
      <c r="G85" s="61" t="s">
        <v>1448</v>
      </c>
      <c r="H85" s="12">
        <v>27</v>
      </c>
      <c r="I85" s="12">
        <v>74</v>
      </c>
      <c r="J85" t="s">
        <v>158</v>
      </c>
      <c r="K85" t="s">
        <v>742</v>
      </c>
      <c r="L85" s="3" t="s">
        <v>190</v>
      </c>
      <c r="M85" s="27" t="s">
        <v>190</v>
      </c>
      <c r="N85" s="27" t="s">
        <v>190</v>
      </c>
      <c r="O85" t="s">
        <v>182</v>
      </c>
      <c r="P85" t="s">
        <v>182</v>
      </c>
    </row>
    <row r="86" spans="1:16">
      <c r="A86" s="59">
        <v>110</v>
      </c>
      <c r="B86" t="s">
        <v>13</v>
      </c>
      <c r="C86" t="s">
        <v>141</v>
      </c>
      <c r="D86" s="60">
        <v>39644</v>
      </c>
      <c r="E86" s="60">
        <v>39644</v>
      </c>
      <c r="F86" s="60" t="str">
        <f t="shared" si="1"/>
        <v>Tuesday</v>
      </c>
      <c r="G86" s="61" t="s">
        <v>756</v>
      </c>
      <c r="H86" s="12">
        <v>54</v>
      </c>
      <c r="I86" s="12">
        <v>88</v>
      </c>
      <c r="J86" t="s">
        <v>146</v>
      </c>
      <c r="K86" t="s">
        <v>742</v>
      </c>
      <c r="L86" s="3" t="s">
        <v>190</v>
      </c>
      <c r="M86" s="27" t="s">
        <v>190</v>
      </c>
      <c r="N86" s="27" t="s">
        <v>190</v>
      </c>
      <c r="O86" t="s">
        <v>182</v>
      </c>
      <c r="P86" t="s">
        <v>182</v>
      </c>
    </row>
    <row r="87" spans="1:16">
      <c r="A87" s="59">
        <v>110</v>
      </c>
      <c r="B87" t="s">
        <v>13</v>
      </c>
      <c r="C87" t="s">
        <v>141</v>
      </c>
      <c r="D87" s="60">
        <v>39691</v>
      </c>
      <c r="E87" s="60">
        <v>39695</v>
      </c>
      <c r="F87" s="60" t="str">
        <f t="shared" si="1"/>
        <v>Sunday</v>
      </c>
      <c r="G87" s="61" t="s">
        <v>746</v>
      </c>
      <c r="H87" s="12">
        <v>30</v>
      </c>
      <c r="I87" s="12">
        <v>11</v>
      </c>
      <c r="J87" s="3" t="s">
        <v>184</v>
      </c>
      <c r="K87" t="s">
        <v>741</v>
      </c>
      <c r="L87" s="3" t="s">
        <v>190</v>
      </c>
      <c r="M87" s="27" t="s">
        <v>179</v>
      </c>
      <c r="N87" s="27" t="s">
        <v>190</v>
      </c>
      <c r="O87" t="s">
        <v>182</v>
      </c>
      <c r="P87" t="s">
        <v>182</v>
      </c>
    </row>
    <row r="88" spans="1:16">
      <c r="A88" s="59">
        <v>110</v>
      </c>
      <c r="B88" t="s">
        <v>123</v>
      </c>
      <c r="C88" t="s">
        <v>141</v>
      </c>
      <c r="D88" s="60">
        <v>39731</v>
      </c>
      <c r="E88" s="60">
        <v>39734</v>
      </c>
      <c r="F88" s="60" t="str">
        <f t="shared" si="1"/>
        <v>Friday</v>
      </c>
      <c r="G88" s="61" t="s">
        <v>1449</v>
      </c>
      <c r="H88" s="12">
        <v>32</v>
      </c>
      <c r="I88" s="12">
        <v>180</v>
      </c>
      <c r="J88" t="s">
        <v>160</v>
      </c>
      <c r="K88" t="s">
        <v>740</v>
      </c>
      <c r="L88" s="3" t="s">
        <v>190</v>
      </c>
      <c r="M88" s="27" t="s">
        <v>190</v>
      </c>
      <c r="N88" s="27" t="s">
        <v>190</v>
      </c>
      <c r="O88" t="s">
        <v>182</v>
      </c>
      <c r="P88" t="s">
        <v>181</v>
      </c>
    </row>
    <row r="89" spans="1:16">
      <c r="A89" s="59">
        <v>110</v>
      </c>
      <c r="B89" t="s">
        <v>13</v>
      </c>
      <c r="C89" t="s">
        <v>141</v>
      </c>
      <c r="D89" s="60">
        <v>39776</v>
      </c>
      <c r="E89" s="60">
        <v>39777</v>
      </c>
      <c r="F89" s="60" t="str">
        <f t="shared" si="1"/>
        <v>Monday</v>
      </c>
      <c r="G89" s="61" t="s">
        <v>1362</v>
      </c>
      <c r="H89" s="12">
        <v>40</v>
      </c>
      <c r="I89" s="12">
        <v>57</v>
      </c>
      <c r="J89" t="s">
        <v>146</v>
      </c>
      <c r="K89" t="s">
        <v>742</v>
      </c>
      <c r="L89" s="3" t="s">
        <v>190</v>
      </c>
      <c r="M89" s="27" t="s">
        <v>190</v>
      </c>
      <c r="N89" s="27" t="s">
        <v>190</v>
      </c>
      <c r="O89" t="s">
        <v>182</v>
      </c>
      <c r="P89" t="s">
        <v>182</v>
      </c>
    </row>
    <row r="90" spans="1:16">
      <c r="A90" s="59">
        <v>110</v>
      </c>
      <c r="B90" t="s">
        <v>9</v>
      </c>
      <c r="C90" t="s">
        <v>141</v>
      </c>
      <c r="D90" s="60">
        <v>39782</v>
      </c>
      <c r="E90" s="60">
        <v>40082</v>
      </c>
      <c r="F90" s="60" t="str">
        <f t="shared" si="1"/>
        <v>Sunday</v>
      </c>
      <c r="G90" s="61" t="s">
        <v>1450</v>
      </c>
      <c r="H90" s="12">
        <v>2</v>
      </c>
      <c r="I90" s="12">
        <v>20</v>
      </c>
      <c r="J90" s="3" t="s">
        <v>150</v>
      </c>
      <c r="K90" t="s">
        <v>742</v>
      </c>
      <c r="L90" s="3" t="s">
        <v>190</v>
      </c>
      <c r="M90" s="27" t="s">
        <v>1583</v>
      </c>
      <c r="N90" s="27" t="s">
        <v>190</v>
      </c>
      <c r="O90" t="s">
        <v>182</v>
      </c>
      <c r="P90" t="s">
        <v>182</v>
      </c>
    </row>
    <row r="91" spans="1:16">
      <c r="A91" s="59">
        <v>110</v>
      </c>
      <c r="B91" t="s">
        <v>11</v>
      </c>
      <c r="C91" t="s">
        <v>141</v>
      </c>
      <c r="D91" s="60">
        <v>39782</v>
      </c>
      <c r="E91" s="60">
        <v>40082</v>
      </c>
      <c r="F91" s="60" t="str">
        <f t="shared" si="1"/>
        <v>Sunday</v>
      </c>
      <c r="G91" s="61" t="s">
        <v>1451</v>
      </c>
      <c r="H91" s="12">
        <v>1</v>
      </c>
      <c r="I91" s="12">
        <v>5</v>
      </c>
      <c r="J91" s="3" t="s">
        <v>150</v>
      </c>
      <c r="K91" t="s">
        <v>742</v>
      </c>
      <c r="L91" s="3" t="s">
        <v>190</v>
      </c>
      <c r="M91" s="27" t="s">
        <v>1583</v>
      </c>
      <c r="N91" s="27" t="s">
        <v>190</v>
      </c>
      <c r="O91" t="s">
        <v>182</v>
      </c>
      <c r="P91" t="s">
        <v>182</v>
      </c>
    </row>
    <row r="92" spans="1:16" s="21" customFormat="1">
      <c r="A92" s="59">
        <v>110</v>
      </c>
      <c r="B92" s="63" t="s">
        <v>13</v>
      </c>
      <c r="C92" t="s">
        <v>141</v>
      </c>
      <c r="D92" s="60">
        <v>39782</v>
      </c>
      <c r="E92" s="60">
        <v>39990</v>
      </c>
      <c r="F92" s="60" t="str">
        <f t="shared" si="1"/>
        <v>Sunday</v>
      </c>
      <c r="G92" s="61" t="s">
        <v>1452</v>
      </c>
      <c r="H92" s="12">
        <v>46</v>
      </c>
      <c r="I92" s="12">
        <v>37</v>
      </c>
      <c r="J92" s="3" t="s">
        <v>150</v>
      </c>
      <c r="K92" t="s">
        <v>742</v>
      </c>
      <c r="L92" s="3" t="s">
        <v>190</v>
      </c>
      <c r="M92" s="27" t="s">
        <v>1557</v>
      </c>
      <c r="N92" s="27" t="s">
        <v>190</v>
      </c>
      <c r="O92" t="s">
        <v>182</v>
      </c>
      <c r="P92" t="s">
        <v>182</v>
      </c>
    </row>
    <row r="93" spans="1:16">
      <c r="A93" s="59">
        <v>110</v>
      </c>
      <c r="B93" t="s">
        <v>32</v>
      </c>
      <c r="C93" t="s">
        <v>141</v>
      </c>
      <c r="D93" s="60">
        <v>39782</v>
      </c>
      <c r="E93" s="64">
        <v>39990</v>
      </c>
      <c r="F93" s="60" t="str">
        <f t="shared" si="1"/>
        <v>Sunday</v>
      </c>
      <c r="G93" s="61" t="s">
        <v>1453</v>
      </c>
      <c r="H93" s="12">
        <v>0</v>
      </c>
      <c r="I93" s="12">
        <v>8</v>
      </c>
      <c r="J93" s="3" t="s">
        <v>150</v>
      </c>
      <c r="K93" t="s">
        <v>742</v>
      </c>
      <c r="L93" s="3" t="s">
        <v>190</v>
      </c>
      <c r="M93" s="27" t="s">
        <v>1583</v>
      </c>
      <c r="N93" s="27" t="s">
        <v>190</v>
      </c>
      <c r="O93" t="s">
        <v>182</v>
      </c>
      <c r="P93" t="s">
        <v>182</v>
      </c>
    </row>
    <row r="94" spans="1:16">
      <c r="A94" s="59">
        <v>110</v>
      </c>
      <c r="B94" t="s">
        <v>13</v>
      </c>
      <c r="C94" t="s">
        <v>141</v>
      </c>
      <c r="D94" s="60">
        <v>39786</v>
      </c>
      <c r="E94" s="60">
        <v>39788</v>
      </c>
      <c r="F94" s="60" t="str">
        <f t="shared" si="1"/>
        <v>Thursday</v>
      </c>
      <c r="G94" s="61" t="s">
        <v>747</v>
      </c>
      <c r="H94" s="12">
        <v>28</v>
      </c>
      <c r="I94" s="12">
        <v>42</v>
      </c>
      <c r="J94" t="s">
        <v>153</v>
      </c>
      <c r="K94" t="s">
        <v>741</v>
      </c>
      <c r="L94" s="3" t="s">
        <v>190</v>
      </c>
      <c r="M94" s="27" t="s">
        <v>190</v>
      </c>
      <c r="N94" s="27" t="s">
        <v>190</v>
      </c>
      <c r="O94" t="s">
        <v>182</v>
      </c>
      <c r="P94" t="s">
        <v>182</v>
      </c>
    </row>
    <row r="95" spans="1:16">
      <c r="A95" s="59">
        <v>110</v>
      </c>
      <c r="B95" t="s">
        <v>56</v>
      </c>
      <c r="C95" t="s">
        <v>141</v>
      </c>
      <c r="D95" s="60">
        <v>39792</v>
      </c>
      <c r="E95" s="60">
        <v>39793</v>
      </c>
      <c r="F95" s="60" t="str">
        <f t="shared" si="1"/>
        <v>Wednesday</v>
      </c>
      <c r="G95" s="61" t="s">
        <v>1454</v>
      </c>
      <c r="H95" s="12">
        <v>135</v>
      </c>
      <c r="I95" s="12">
        <v>750</v>
      </c>
      <c r="J95" s="3" t="s">
        <v>164</v>
      </c>
      <c r="K95" t="s">
        <v>741</v>
      </c>
      <c r="L95" s="3" t="s">
        <v>190</v>
      </c>
      <c r="M95" s="27" t="s">
        <v>190</v>
      </c>
      <c r="N95" s="27" t="s">
        <v>190</v>
      </c>
      <c r="O95" t="s">
        <v>182</v>
      </c>
      <c r="P95" t="s">
        <v>182</v>
      </c>
    </row>
    <row r="96" spans="1:16" ht="16">
      <c r="A96" s="66">
        <v>111</v>
      </c>
      <c r="B96" s="21" t="s">
        <v>64</v>
      </c>
      <c r="C96" s="21" t="s">
        <v>141</v>
      </c>
      <c r="D96" s="67">
        <v>39835</v>
      </c>
      <c r="E96" s="67">
        <v>39854</v>
      </c>
      <c r="F96" s="60" t="str">
        <f t="shared" si="1"/>
        <v>Thursday</v>
      </c>
      <c r="G96" s="68" t="s">
        <v>1455</v>
      </c>
      <c r="H96" s="57">
        <v>12</v>
      </c>
      <c r="I96" s="57">
        <v>48</v>
      </c>
      <c r="J96" t="s">
        <v>146</v>
      </c>
      <c r="K96" t="s">
        <v>742</v>
      </c>
      <c r="L96" s="3" t="s">
        <v>190</v>
      </c>
      <c r="M96" s="69" t="s">
        <v>1584</v>
      </c>
      <c r="N96" s="27" t="s">
        <v>190</v>
      </c>
      <c r="O96" s="21" t="s">
        <v>181</v>
      </c>
      <c r="P96" s="3" t="s">
        <v>190</v>
      </c>
    </row>
    <row r="97" spans="1:16">
      <c r="A97" s="59">
        <v>111</v>
      </c>
      <c r="B97" t="s">
        <v>109</v>
      </c>
      <c r="C97" t="s">
        <v>141</v>
      </c>
      <c r="D97" s="60">
        <v>39875</v>
      </c>
      <c r="E97" s="60">
        <v>40947</v>
      </c>
      <c r="F97" s="60" t="str">
        <f t="shared" si="1"/>
        <v>Tuesday</v>
      </c>
      <c r="G97" s="61" t="s">
        <v>1456</v>
      </c>
      <c r="H97" s="12">
        <v>6</v>
      </c>
      <c r="I97" s="12">
        <v>15</v>
      </c>
      <c r="J97" t="s">
        <v>153</v>
      </c>
      <c r="K97" t="s">
        <v>741</v>
      </c>
      <c r="L97" s="3" t="s">
        <v>190</v>
      </c>
      <c r="M97" s="27" t="s">
        <v>190</v>
      </c>
      <c r="N97" s="27" t="s">
        <v>190</v>
      </c>
      <c r="O97" t="s">
        <v>182</v>
      </c>
      <c r="P97" t="s">
        <v>182</v>
      </c>
    </row>
    <row r="98" spans="1:16">
      <c r="A98" s="59">
        <v>111</v>
      </c>
      <c r="B98" t="s">
        <v>83</v>
      </c>
      <c r="C98" t="s">
        <v>141</v>
      </c>
      <c r="D98" s="60">
        <v>39884</v>
      </c>
      <c r="E98" s="60">
        <v>39885</v>
      </c>
      <c r="F98" s="60" t="str">
        <f t="shared" si="1"/>
        <v>Thursday</v>
      </c>
      <c r="G98" s="61" t="s">
        <v>1457</v>
      </c>
      <c r="H98" s="12">
        <v>16</v>
      </c>
      <c r="I98" s="12">
        <v>59</v>
      </c>
      <c r="J98" s="3" t="s">
        <v>168</v>
      </c>
      <c r="K98" s="3" t="s">
        <v>742</v>
      </c>
      <c r="L98" s="3" t="s">
        <v>190</v>
      </c>
      <c r="M98" s="27" t="s">
        <v>1585</v>
      </c>
      <c r="N98" s="27" t="s">
        <v>190</v>
      </c>
      <c r="O98" t="s">
        <v>182</v>
      </c>
      <c r="P98" t="s">
        <v>182</v>
      </c>
    </row>
    <row r="99" spans="1:16">
      <c r="A99" s="59">
        <v>111</v>
      </c>
      <c r="B99" t="s">
        <v>53</v>
      </c>
      <c r="C99" t="s">
        <v>141</v>
      </c>
      <c r="D99" s="60">
        <v>39922</v>
      </c>
      <c r="E99" s="60">
        <v>39924</v>
      </c>
      <c r="F99" s="60" t="str">
        <f t="shared" si="1"/>
        <v>Sunday</v>
      </c>
      <c r="G99" s="61" t="s">
        <v>1458</v>
      </c>
      <c r="H99" s="12">
        <v>10</v>
      </c>
      <c r="I99" s="12">
        <v>162</v>
      </c>
      <c r="J99" t="s">
        <v>146</v>
      </c>
      <c r="K99" s="3" t="s">
        <v>741</v>
      </c>
      <c r="L99" s="3" t="s">
        <v>190</v>
      </c>
      <c r="M99" s="27" t="s">
        <v>190</v>
      </c>
      <c r="N99" s="27" t="s">
        <v>190</v>
      </c>
      <c r="O99" t="s">
        <v>182</v>
      </c>
      <c r="P99" t="s">
        <v>182</v>
      </c>
    </row>
    <row r="100" spans="1:16">
      <c r="A100" s="59">
        <v>111</v>
      </c>
      <c r="B100" t="s">
        <v>58</v>
      </c>
      <c r="C100" t="s">
        <v>141</v>
      </c>
      <c r="D100" s="60">
        <v>39962</v>
      </c>
      <c r="E100" s="60">
        <v>40706</v>
      </c>
      <c r="F100" s="60" t="str">
        <f t="shared" si="1"/>
        <v>Friday</v>
      </c>
      <c r="G100" s="61" t="s">
        <v>1459</v>
      </c>
      <c r="H100" s="12">
        <v>22</v>
      </c>
      <c r="I100" s="12">
        <v>30</v>
      </c>
      <c r="J100" s="3" t="s">
        <v>165</v>
      </c>
      <c r="K100" t="s">
        <v>740</v>
      </c>
      <c r="L100" s="3" t="s">
        <v>190</v>
      </c>
      <c r="M100" s="27" t="s">
        <v>190</v>
      </c>
      <c r="N100" s="27" t="s">
        <v>190</v>
      </c>
      <c r="O100" t="s">
        <v>182</v>
      </c>
      <c r="P100" t="s">
        <v>182</v>
      </c>
    </row>
    <row r="101" spans="1:16">
      <c r="A101" s="59">
        <v>111</v>
      </c>
      <c r="B101" t="s">
        <v>52</v>
      </c>
      <c r="C101" t="s">
        <v>141</v>
      </c>
      <c r="D101" s="60">
        <v>39976</v>
      </c>
      <c r="E101" s="60">
        <v>39978</v>
      </c>
      <c r="F101" s="60" t="str">
        <f t="shared" si="1"/>
        <v>Friday</v>
      </c>
      <c r="G101" s="65" t="s">
        <v>1460</v>
      </c>
      <c r="H101" s="58">
        <v>27</v>
      </c>
      <c r="I101" s="58">
        <v>12</v>
      </c>
      <c r="J101" t="s">
        <v>146</v>
      </c>
      <c r="K101" t="s">
        <v>742</v>
      </c>
      <c r="L101" s="3" t="s">
        <v>190</v>
      </c>
      <c r="M101" s="27" t="s">
        <v>1585</v>
      </c>
      <c r="N101" s="27" t="s">
        <v>190</v>
      </c>
      <c r="O101" t="s">
        <v>182</v>
      </c>
      <c r="P101" t="s">
        <v>182</v>
      </c>
    </row>
    <row r="102" spans="1:16">
      <c r="A102" s="59">
        <v>111</v>
      </c>
      <c r="B102" t="s">
        <v>62</v>
      </c>
      <c r="C102" t="s">
        <v>142</v>
      </c>
      <c r="D102" s="60">
        <v>39980</v>
      </c>
      <c r="E102" s="60">
        <v>39981</v>
      </c>
      <c r="F102" s="60" t="str">
        <f t="shared" si="1"/>
        <v>Tuesday</v>
      </c>
      <c r="G102" s="61" t="s">
        <v>1512</v>
      </c>
      <c r="H102" s="12">
        <v>30</v>
      </c>
      <c r="I102" s="12">
        <v>448</v>
      </c>
      <c r="J102" t="s">
        <v>160</v>
      </c>
      <c r="K102" t="s">
        <v>740</v>
      </c>
      <c r="L102" s="3" t="s">
        <v>190</v>
      </c>
      <c r="M102" s="27" t="s">
        <v>1586</v>
      </c>
      <c r="N102" s="27" t="s">
        <v>190</v>
      </c>
      <c r="O102" t="s">
        <v>181</v>
      </c>
      <c r="P102" s="3" t="s">
        <v>190</v>
      </c>
    </row>
    <row r="103" spans="1:16">
      <c r="A103" s="59">
        <v>111</v>
      </c>
      <c r="B103" t="s">
        <v>35</v>
      </c>
      <c r="C103" t="s">
        <v>141</v>
      </c>
      <c r="D103" s="60">
        <v>40032</v>
      </c>
      <c r="E103" s="60">
        <v>40032</v>
      </c>
      <c r="F103" s="60" t="str">
        <f t="shared" si="1"/>
        <v>Friday</v>
      </c>
      <c r="G103" s="61" t="s">
        <v>1363</v>
      </c>
      <c r="H103" s="12">
        <v>22</v>
      </c>
      <c r="I103" s="12">
        <v>22</v>
      </c>
      <c r="J103" s="3" t="s">
        <v>150</v>
      </c>
      <c r="K103" t="s">
        <v>742</v>
      </c>
      <c r="L103" s="3" t="s">
        <v>190</v>
      </c>
      <c r="M103" s="27" t="s">
        <v>190</v>
      </c>
      <c r="N103" s="27" t="s">
        <v>190</v>
      </c>
      <c r="O103" t="s">
        <v>182</v>
      </c>
      <c r="P103" t="s">
        <v>182</v>
      </c>
    </row>
    <row r="104" spans="1:16">
      <c r="A104" s="59">
        <v>111</v>
      </c>
      <c r="B104" t="s">
        <v>13</v>
      </c>
      <c r="C104" t="s">
        <v>141</v>
      </c>
      <c r="D104" s="60">
        <v>40050</v>
      </c>
      <c r="E104" s="60">
        <v>40051</v>
      </c>
      <c r="F104" s="60" t="str">
        <f t="shared" si="1"/>
        <v>Tuesday</v>
      </c>
      <c r="G104" s="61" t="s">
        <v>1461</v>
      </c>
      <c r="H104" s="12">
        <v>6</v>
      </c>
      <c r="I104" s="12">
        <v>32</v>
      </c>
      <c r="J104" s="3" t="s">
        <v>185</v>
      </c>
      <c r="K104" s="3" t="s">
        <v>742</v>
      </c>
      <c r="L104" s="3" t="s">
        <v>190</v>
      </c>
      <c r="M104" s="27" t="s">
        <v>190</v>
      </c>
      <c r="N104" s="27" t="s">
        <v>190</v>
      </c>
      <c r="O104" t="s">
        <v>182</v>
      </c>
      <c r="P104" t="s">
        <v>182</v>
      </c>
    </row>
    <row r="105" spans="1:16">
      <c r="A105" s="59">
        <v>111</v>
      </c>
      <c r="B105" t="s">
        <v>108</v>
      </c>
      <c r="C105" t="s">
        <v>141</v>
      </c>
      <c r="D105" s="60">
        <v>40072</v>
      </c>
      <c r="E105" s="60">
        <v>40072</v>
      </c>
      <c r="F105" s="60" t="str">
        <f t="shared" si="1"/>
        <v>Wednesday</v>
      </c>
      <c r="G105" s="61" t="s">
        <v>1462</v>
      </c>
      <c r="H105" s="12">
        <v>3</v>
      </c>
      <c r="I105" s="12">
        <v>24</v>
      </c>
      <c r="J105" t="s">
        <v>153</v>
      </c>
      <c r="K105" t="s">
        <v>741</v>
      </c>
      <c r="L105" s="3" t="s">
        <v>190</v>
      </c>
      <c r="M105" s="27" t="s">
        <v>1585</v>
      </c>
      <c r="N105" s="27" t="s">
        <v>190</v>
      </c>
      <c r="O105" t="s">
        <v>182</v>
      </c>
      <c r="P105" t="s">
        <v>182</v>
      </c>
    </row>
    <row r="106" spans="1:16" ht="16">
      <c r="A106" s="59">
        <v>111</v>
      </c>
      <c r="B106" t="s">
        <v>75</v>
      </c>
      <c r="C106" t="s">
        <v>141</v>
      </c>
      <c r="D106" s="60">
        <v>40116</v>
      </c>
      <c r="E106" s="60">
        <v>40116</v>
      </c>
      <c r="F106" s="60" t="str">
        <f t="shared" si="1"/>
        <v>Friday</v>
      </c>
      <c r="G106" s="61" t="s">
        <v>1463</v>
      </c>
      <c r="H106" s="57">
        <v>14</v>
      </c>
      <c r="I106" s="57">
        <v>21</v>
      </c>
      <c r="J106" t="s">
        <v>146</v>
      </c>
      <c r="K106" t="s">
        <v>742</v>
      </c>
      <c r="L106" s="3" t="s">
        <v>190</v>
      </c>
      <c r="M106" s="27" t="s">
        <v>1585</v>
      </c>
      <c r="N106" s="27" t="s">
        <v>190</v>
      </c>
      <c r="O106" t="s">
        <v>182</v>
      </c>
      <c r="P106" t="s">
        <v>182</v>
      </c>
    </row>
    <row r="107" spans="1:16">
      <c r="A107" s="59">
        <v>111</v>
      </c>
      <c r="B107" t="s">
        <v>87</v>
      </c>
      <c r="C107" t="s">
        <v>141</v>
      </c>
      <c r="D107" s="60">
        <v>40116</v>
      </c>
      <c r="E107" s="60">
        <v>40116</v>
      </c>
      <c r="F107" s="60" t="str">
        <f t="shared" si="1"/>
        <v>Friday</v>
      </c>
      <c r="G107" s="61" t="s">
        <v>1464</v>
      </c>
      <c r="H107" s="12">
        <v>20</v>
      </c>
      <c r="I107" s="12">
        <v>32</v>
      </c>
      <c r="J107" t="s">
        <v>146</v>
      </c>
      <c r="K107" t="s">
        <v>742</v>
      </c>
      <c r="L107" s="3" t="s">
        <v>190</v>
      </c>
      <c r="M107" s="27" t="s">
        <v>190</v>
      </c>
      <c r="N107" s="27" t="s">
        <v>190</v>
      </c>
      <c r="O107" t="s">
        <v>182</v>
      </c>
      <c r="P107" t="s">
        <v>182</v>
      </c>
    </row>
    <row r="108" spans="1:16">
      <c r="A108" s="59">
        <v>111</v>
      </c>
      <c r="B108" t="s">
        <v>139</v>
      </c>
      <c r="C108" t="s">
        <v>141</v>
      </c>
      <c r="D108" s="60">
        <v>40116</v>
      </c>
      <c r="E108" s="60">
        <v>40116</v>
      </c>
      <c r="F108" s="60" t="str">
        <f t="shared" si="1"/>
        <v>Friday</v>
      </c>
      <c r="G108" s="61" t="s">
        <v>1364</v>
      </c>
      <c r="H108" s="12">
        <v>16</v>
      </c>
      <c r="I108" s="12">
        <v>34</v>
      </c>
      <c r="J108" t="s">
        <v>146</v>
      </c>
      <c r="K108" t="s">
        <v>742</v>
      </c>
      <c r="L108" s="3" t="s">
        <v>190</v>
      </c>
      <c r="M108" s="27" t="s">
        <v>1553</v>
      </c>
      <c r="N108" s="27" t="s">
        <v>190</v>
      </c>
      <c r="O108" s="3" t="s">
        <v>182</v>
      </c>
      <c r="P108" s="3" t="s">
        <v>181</v>
      </c>
    </row>
    <row r="109" spans="1:16">
      <c r="A109" s="59">
        <v>111</v>
      </c>
      <c r="B109" t="s">
        <v>113</v>
      </c>
      <c r="C109" t="s">
        <v>141</v>
      </c>
      <c r="D109" s="60">
        <v>40129</v>
      </c>
      <c r="E109" s="60">
        <v>40142</v>
      </c>
      <c r="F109" s="60" t="str">
        <f t="shared" si="1"/>
        <v>Thursday</v>
      </c>
      <c r="G109" s="61" t="s">
        <v>1465</v>
      </c>
      <c r="H109" s="12">
        <v>14</v>
      </c>
      <c r="I109" s="12">
        <v>5</v>
      </c>
      <c r="J109" t="s">
        <v>146</v>
      </c>
      <c r="K109" t="s">
        <v>742</v>
      </c>
      <c r="L109" s="3" t="s">
        <v>190</v>
      </c>
      <c r="M109" s="27" t="s">
        <v>1587</v>
      </c>
      <c r="N109" s="27" t="s">
        <v>190</v>
      </c>
      <c r="O109" t="s">
        <v>181</v>
      </c>
      <c r="P109" s="3" t="s">
        <v>190</v>
      </c>
    </row>
    <row r="110" spans="1:16">
      <c r="A110" s="59">
        <v>111</v>
      </c>
      <c r="B110" t="s">
        <v>82</v>
      </c>
      <c r="C110" t="s">
        <v>142</v>
      </c>
      <c r="D110" s="60">
        <v>40151</v>
      </c>
      <c r="E110" s="60">
        <v>40153</v>
      </c>
      <c r="F110" s="60" t="str">
        <f t="shared" si="1"/>
        <v>Friday</v>
      </c>
      <c r="G110" s="61" t="s">
        <v>1335</v>
      </c>
      <c r="H110" s="12">
        <v>87</v>
      </c>
      <c r="I110" s="12">
        <v>205</v>
      </c>
      <c r="J110" t="s">
        <v>153</v>
      </c>
      <c r="K110" t="s">
        <v>741</v>
      </c>
      <c r="L110" s="3" t="s">
        <v>190</v>
      </c>
      <c r="M110" s="27" t="s">
        <v>1588</v>
      </c>
      <c r="N110" s="27" t="s">
        <v>190</v>
      </c>
      <c r="O110" s="3" t="s">
        <v>181</v>
      </c>
      <c r="P110" s="3" t="s">
        <v>190</v>
      </c>
    </row>
    <row r="111" spans="1:16">
      <c r="A111" s="59">
        <v>111</v>
      </c>
      <c r="B111" t="s">
        <v>44</v>
      </c>
      <c r="C111" t="s">
        <v>141</v>
      </c>
      <c r="D111" s="60">
        <v>40176</v>
      </c>
      <c r="E111" s="60">
        <v>40176</v>
      </c>
      <c r="F111" s="60" t="str">
        <f t="shared" si="1"/>
        <v>Tuesday</v>
      </c>
      <c r="G111" s="61" t="s">
        <v>1466</v>
      </c>
      <c r="H111" s="12">
        <v>1</v>
      </c>
      <c r="I111" s="12">
        <v>6</v>
      </c>
      <c r="J111" s="3" t="s">
        <v>150</v>
      </c>
      <c r="K111" t="s">
        <v>742</v>
      </c>
      <c r="L111" s="3" t="s">
        <v>190</v>
      </c>
      <c r="M111" s="27" t="s">
        <v>1589</v>
      </c>
      <c r="N111" s="27" t="s">
        <v>190</v>
      </c>
      <c r="O111" s="3" t="s">
        <v>182</v>
      </c>
      <c r="P111" s="3" t="s">
        <v>182</v>
      </c>
    </row>
    <row r="112" spans="1:16">
      <c r="A112" s="59">
        <v>111</v>
      </c>
      <c r="B112" t="s">
        <v>46</v>
      </c>
      <c r="C112" t="s">
        <v>142</v>
      </c>
      <c r="D112" s="60">
        <v>40187</v>
      </c>
      <c r="E112" s="60">
        <v>40188</v>
      </c>
      <c r="F112" s="60" t="str">
        <f t="shared" si="1"/>
        <v>Saturday</v>
      </c>
      <c r="G112" s="62" t="s">
        <v>1379</v>
      </c>
      <c r="H112" s="12">
        <v>594</v>
      </c>
      <c r="I112" s="12">
        <v>1574</v>
      </c>
      <c r="J112" s="3" t="s">
        <v>1344</v>
      </c>
      <c r="K112" t="s">
        <v>740</v>
      </c>
      <c r="L112" s="3" t="s">
        <v>182</v>
      </c>
      <c r="M112" s="27" t="s">
        <v>190</v>
      </c>
      <c r="N112" s="27" t="s">
        <v>190</v>
      </c>
      <c r="O112" t="s">
        <v>182</v>
      </c>
      <c r="P112" t="s">
        <v>182</v>
      </c>
    </row>
    <row r="113" spans="1:16">
      <c r="A113" s="59">
        <v>111</v>
      </c>
      <c r="B113" t="s">
        <v>44</v>
      </c>
      <c r="C113" t="s">
        <v>141</v>
      </c>
      <c r="D113" s="60">
        <v>40209</v>
      </c>
      <c r="E113" s="60">
        <v>40220</v>
      </c>
      <c r="F113" s="60" t="str">
        <f t="shared" si="1"/>
        <v>Sunday</v>
      </c>
      <c r="G113" s="61" t="s">
        <v>1467</v>
      </c>
      <c r="H113" s="12">
        <v>5</v>
      </c>
      <c r="I113" s="12">
        <v>7</v>
      </c>
      <c r="J113" s="3" t="s">
        <v>186</v>
      </c>
      <c r="K113" t="s">
        <v>741</v>
      </c>
      <c r="L113" s="3" t="s">
        <v>190</v>
      </c>
      <c r="M113" s="27" t="s">
        <v>190</v>
      </c>
      <c r="N113" s="27" t="s">
        <v>190</v>
      </c>
      <c r="O113" t="s">
        <v>182</v>
      </c>
      <c r="P113" t="s">
        <v>182</v>
      </c>
    </row>
    <row r="114" spans="1:16">
      <c r="A114" s="59">
        <v>111</v>
      </c>
      <c r="B114" t="s">
        <v>38</v>
      </c>
      <c r="C114" t="s">
        <v>141</v>
      </c>
      <c r="D114" s="60">
        <v>40240</v>
      </c>
      <c r="E114" s="60">
        <v>40241</v>
      </c>
      <c r="F114" s="60" t="str">
        <f t="shared" si="1"/>
        <v>Wednesday</v>
      </c>
      <c r="G114" s="61" t="s">
        <v>1468</v>
      </c>
      <c r="H114" s="12">
        <v>11</v>
      </c>
      <c r="I114" s="12">
        <v>146</v>
      </c>
      <c r="J114" t="s">
        <v>148</v>
      </c>
      <c r="K114" t="s">
        <v>740</v>
      </c>
      <c r="L114" s="3" t="s">
        <v>190</v>
      </c>
      <c r="M114" s="27" t="s">
        <v>1590</v>
      </c>
      <c r="N114" s="27" t="s">
        <v>182</v>
      </c>
      <c r="O114" t="s">
        <v>181</v>
      </c>
      <c r="P114" s="3" t="s">
        <v>190</v>
      </c>
    </row>
    <row r="115" spans="1:16" ht="16">
      <c r="A115" s="59">
        <v>111</v>
      </c>
      <c r="B115" t="s">
        <v>77</v>
      </c>
      <c r="C115" t="s">
        <v>141</v>
      </c>
      <c r="D115" s="60">
        <v>40316</v>
      </c>
      <c r="E115" s="60">
        <v>40316</v>
      </c>
      <c r="F115" s="60" t="str">
        <f t="shared" si="1"/>
        <v>Tuesday</v>
      </c>
      <c r="G115" s="61" t="s">
        <v>1469</v>
      </c>
      <c r="H115" s="77">
        <v>4</v>
      </c>
      <c r="I115" s="77">
        <v>225</v>
      </c>
      <c r="J115" t="s">
        <v>160</v>
      </c>
      <c r="K115" t="s">
        <v>740</v>
      </c>
      <c r="L115" s="3" t="s">
        <v>190</v>
      </c>
      <c r="M115" s="27" t="s">
        <v>1591</v>
      </c>
      <c r="N115" s="27" t="s">
        <v>182</v>
      </c>
      <c r="O115" t="s">
        <v>181</v>
      </c>
      <c r="P115" s="3" t="s">
        <v>190</v>
      </c>
    </row>
    <row r="116" spans="1:16">
      <c r="A116" s="59">
        <v>111</v>
      </c>
      <c r="B116" t="s">
        <v>20</v>
      </c>
      <c r="C116" s="3" t="s">
        <v>141</v>
      </c>
      <c r="D116" s="60">
        <v>40343</v>
      </c>
      <c r="E116" s="60">
        <v>40344</v>
      </c>
      <c r="F116" s="60" t="str">
        <f t="shared" si="1"/>
        <v>Monday</v>
      </c>
      <c r="G116" s="61" t="s">
        <v>1470</v>
      </c>
      <c r="H116" s="58">
        <v>4</v>
      </c>
      <c r="I116" s="58">
        <v>24</v>
      </c>
      <c r="J116" s="3" t="s">
        <v>146</v>
      </c>
      <c r="K116" t="s">
        <v>742</v>
      </c>
      <c r="L116" s="3" t="s">
        <v>190</v>
      </c>
      <c r="M116" s="27" t="s">
        <v>190</v>
      </c>
      <c r="N116" s="27" t="s">
        <v>190</v>
      </c>
      <c r="O116" s="3" t="s">
        <v>182</v>
      </c>
      <c r="P116" s="3" t="s">
        <v>182</v>
      </c>
    </row>
    <row r="117" spans="1:16">
      <c r="A117" s="59">
        <v>111</v>
      </c>
      <c r="B117" s="3" t="s">
        <v>593</v>
      </c>
      <c r="C117" s="3" t="s">
        <v>141</v>
      </c>
      <c r="D117" s="60">
        <v>40343</v>
      </c>
      <c r="E117" s="60">
        <v>40344</v>
      </c>
      <c r="F117" s="60" t="str">
        <f t="shared" si="1"/>
        <v>Monday</v>
      </c>
      <c r="G117" s="61" t="s">
        <v>1470</v>
      </c>
      <c r="H117" s="12">
        <v>25</v>
      </c>
      <c r="I117" s="12">
        <v>36</v>
      </c>
      <c r="J117" s="3" t="s">
        <v>146</v>
      </c>
      <c r="K117" t="s">
        <v>742</v>
      </c>
      <c r="L117" s="3" t="s">
        <v>190</v>
      </c>
      <c r="M117" s="27" t="s">
        <v>1592</v>
      </c>
      <c r="N117" s="27" t="s">
        <v>190</v>
      </c>
      <c r="O117" s="3" t="s">
        <v>182</v>
      </c>
      <c r="P117" s="3" t="s">
        <v>181</v>
      </c>
    </row>
    <row r="118" spans="1:16">
      <c r="A118" s="59">
        <v>111</v>
      </c>
      <c r="B118" s="3" t="s">
        <v>590</v>
      </c>
      <c r="C118" s="3" t="s">
        <v>141</v>
      </c>
      <c r="D118" s="60">
        <v>40343</v>
      </c>
      <c r="E118" s="60">
        <v>40344</v>
      </c>
      <c r="F118" s="60" t="str">
        <f t="shared" si="1"/>
        <v>Monday</v>
      </c>
      <c r="G118" s="61" t="s">
        <v>1470</v>
      </c>
      <c r="H118" s="58">
        <v>17</v>
      </c>
      <c r="I118" s="58">
        <v>24</v>
      </c>
      <c r="J118" s="3" t="s">
        <v>146</v>
      </c>
      <c r="K118" t="s">
        <v>742</v>
      </c>
      <c r="L118" s="3" t="s">
        <v>190</v>
      </c>
      <c r="M118" s="27" t="s">
        <v>1592</v>
      </c>
      <c r="N118" s="27" t="s">
        <v>190</v>
      </c>
      <c r="O118" s="3" t="s">
        <v>182</v>
      </c>
      <c r="P118" s="3" t="s">
        <v>182</v>
      </c>
    </row>
    <row r="119" spans="1:16">
      <c r="A119" s="59">
        <v>111</v>
      </c>
      <c r="B119" s="14" t="s">
        <v>482</v>
      </c>
      <c r="C119" s="3" t="s">
        <v>141</v>
      </c>
      <c r="D119" s="60">
        <v>40343</v>
      </c>
      <c r="E119" s="60">
        <v>40344</v>
      </c>
      <c r="F119" s="60" t="str">
        <f t="shared" si="1"/>
        <v>Monday</v>
      </c>
      <c r="G119" s="61" t="s">
        <v>1470</v>
      </c>
      <c r="H119" s="12">
        <v>2</v>
      </c>
      <c r="I119" s="12">
        <v>28</v>
      </c>
      <c r="J119" s="3" t="s">
        <v>146</v>
      </c>
      <c r="K119" t="s">
        <v>742</v>
      </c>
      <c r="L119" s="3" t="s">
        <v>190</v>
      </c>
      <c r="M119" s="27" t="s">
        <v>190</v>
      </c>
      <c r="N119" s="27" t="s">
        <v>190</v>
      </c>
      <c r="O119" s="3" t="s">
        <v>182</v>
      </c>
      <c r="P119" s="3" t="s">
        <v>182</v>
      </c>
    </row>
    <row r="120" spans="1:16">
      <c r="A120" s="59">
        <v>111</v>
      </c>
      <c r="B120" s="3" t="s">
        <v>207</v>
      </c>
      <c r="C120" s="3" t="s">
        <v>141</v>
      </c>
      <c r="D120" s="60">
        <v>40343</v>
      </c>
      <c r="E120" s="60">
        <v>40344</v>
      </c>
      <c r="F120" s="60" t="str">
        <f t="shared" si="1"/>
        <v>Monday</v>
      </c>
      <c r="G120" s="61" t="s">
        <v>1470</v>
      </c>
      <c r="H120" s="12">
        <v>6</v>
      </c>
      <c r="I120" s="12">
        <v>18</v>
      </c>
      <c r="J120" s="3" t="s">
        <v>146</v>
      </c>
      <c r="K120" t="s">
        <v>742</v>
      </c>
      <c r="L120" s="3" t="s">
        <v>190</v>
      </c>
      <c r="M120" s="27" t="s">
        <v>1592</v>
      </c>
      <c r="N120" s="27" t="s">
        <v>190</v>
      </c>
      <c r="O120" s="3" t="s">
        <v>182</v>
      </c>
      <c r="P120" s="3" t="s">
        <v>182</v>
      </c>
    </row>
    <row r="121" spans="1:16">
      <c r="A121" s="59">
        <v>111</v>
      </c>
      <c r="B121" s="3" t="s">
        <v>208</v>
      </c>
      <c r="C121" s="3" t="s">
        <v>141</v>
      </c>
      <c r="D121" s="60">
        <v>40343</v>
      </c>
      <c r="E121" s="60">
        <v>40344</v>
      </c>
      <c r="F121" s="60" t="str">
        <f t="shared" si="1"/>
        <v>Monday</v>
      </c>
      <c r="G121" s="61" t="s">
        <v>1470</v>
      </c>
      <c r="H121" s="12">
        <v>11</v>
      </c>
      <c r="I121" s="12">
        <v>27</v>
      </c>
      <c r="J121" s="3" t="s">
        <v>146</v>
      </c>
      <c r="K121" t="s">
        <v>742</v>
      </c>
      <c r="L121" s="3" t="s">
        <v>190</v>
      </c>
      <c r="M121" s="27" t="s">
        <v>1592</v>
      </c>
      <c r="N121" s="27" t="s">
        <v>190</v>
      </c>
      <c r="O121" s="3" t="s">
        <v>182</v>
      </c>
      <c r="P121" s="3" t="s">
        <v>182</v>
      </c>
    </row>
    <row r="122" spans="1:16">
      <c r="A122" s="59">
        <v>111</v>
      </c>
      <c r="B122" s="3" t="s">
        <v>120</v>
      </c>
      <c r="C122" s="3" t="s">
        <v>141</v>
      </c>
      <c r="D122" s="60">
        <v>40343</v>
      </c>
      <c r="E122" s="60">
        <v>40344</v>
      </c>
      <c r="F122" s="60" t="str">
        <f t="shared" si="1"/>
        <v>Monday</v>
      </c>
      <c r="G122" s="61" t="s">
        <v>1470</v>
      </c>
      <c r="H122" s="12">
        <v>12</v>
      </c>
      <c r="I122" s="12">
        <v>60</v>
      </c>
      <c r="J122" s="3" t="s">
        <v>146</v>
      </c>
      <c r="K122" t="s">
        <v>742</v>
      </c>
      <c r="L122" s="3" t="s">
        <v>190</v>
      </c>
      <c r="M122" s="27" t="s">
        <v>1592</v>
      </c>
      <c r="N122" s="27" t="s">
        <v>190</v>
      </c>
      <c r="O122" s="3" t="s">
        <v>182</v>
      </c>
      <c r="P122" s="3" t="s">
        <v>182</v>
      </c>
    </row>
    <row r="123" spans="1:16">
      <c r="A123" s="59">
        <v>111</v>
      </c>
      <c r="B123" s="3" t="s">
        <v>216</v>
      </c>
      <c r="C123" s="3" t="s">
        <v>141</v>
      </c>
      <c r="D123" s="60">
        <v>40343</v>
      </c>
      <c r="E123" s="60">
        <v>40344</v>
      </c>
      <c r="F123" s="60" t="str">
        <f t="shared" si="1"/>
        <v>Monday</v>
      </c>
      <c r="G123" s="61" t="s">
        <v>1470</v>
      </c>
      <c r="H123" s="12">
        <v>18</v>
      </c>
      <c r="I123" s="12">
        <v>34</v>
      </c>
      <c r="J123" s="3" t="s">
        <v>146</v>
      </c>
      <c r="K123" t="s">
        <v>742</v>
      </c>
      <c r="L123" s="3" t="s">
        <v>190</v>
      </c>
      <c r="M123" s="27" t="s">
        <v>1592</v>
      </c>
      <c r="N123" s="27" t="s">
        <v>190</v>
      </c>
      <c r="O123" s="3" t="s">
        <v>182</v>
      </c>
      <c r="P123" s="3" t="s">
        <v>182</v>
      </c>
    </row>
    <row r="124" spans="1:16">
      <c r="A124" s="59">
        <v>111</v>
      </c>
      <c r="B124" t="s">
        <v>44</v>
      </c>
      <c r="C124" t="s">
        <v>141</v>
      </c>
      <c r="D124" s="60">
        <v>40348</v>
      </c>
      <c r="E124" s="60">
        <v>40349</v>
      </c>
      <c r="F124" s="60" t="str">
        <f t="shared" si="1"/>
        <v>Saturday</v>
      </c>
      <c r="G124" s="61" t="s">
        <v>1471</v>
      </c>
      <c r="H124" s="12">
        <v>7</v>
      </c>
      <c r="I124" s="12">
        <v>15</v>
      </c>
      <c r="J124" t="s">
        <v>158</v>
      </c>
      <c r="K124" t="s">
        <v>742</v>
      </c>
      <c r="L124" s="3" t="s">
        <v>190</v>
      </c>
      <c r="M124" s="27" t="s">
        <v>190</v>
      </c>
      <c r="N124" s="27" t="s">
        <v>190</v>
      </c>
      <c r="O124" t="s">
        <v>182</v>
      </c>
      <c r="P124" t="s">
        <v>182</v>
      </c>
    </row>
    <row r="125" spans="1:16">
      <c r="A125" s="59">
        <v>111</v>
      </c>
      <c r="B125" t="s">
        <v>45</v>
      </c>
      <c r="C125" t="s">
        <v>141</v>
      </c>
      <c r="D125" s="60">
        <v>40357</v>
      </c>
      <c r="E125" s="60">
        <v>40357</v>
      </c>
      <c r="F125" s="60" t="str">
        <f t="shared" si="1"/>
        <v>Monday</v>
      </c>
      <c r="G125" s="61" t="s">
        <v>1472</v>
      </c>
      <c r="H125" s="12">
        <v>9</v>
      </c>
      <c r="I125" s="12">
        <v>10</v>
      </c>
      <c r="J125" t="s">
        <v>146</v>
      </c>
      <c r="K125" t="s">
        <v>742</v>
      </c>
      <c r="L125" s="3" t="s">
        <v>190</v>
      </c>
      <c r="M125" s="27" t="s">
        <v>190</v>
      </c>
      <c r="N125" s="27" t="s">
        <v>190</v>
      </c>
      <c r="O125" t="s">
        <v>182</v>
      </c>
      <c r="P125" t="s">
        <v>182</v>
      </c>
    </row>
    <row r="126" spans="1:16">
      <c r="A126" s="59">
        <v>111</v>
      </c>
      <c r="B126" t="s">
        <v>34</v>
      </c>
      <c r="C126" t="s">
        <v>141</v>
      </c>
      <c r="D126" s="60">
        <v>40419</v>
      </c>
      <c r="E126" s="60">
        <v>40422</v>
      </c>
      <c r="F126" s="60" t="str">
        <f t="shared" si="1"/>
        <v>Sunday</v>
      </c>
      <c r="G126" s="61" t="s">
        <v>1473</v>
      </c>
      <c r="H126" s="12">
        <v>5</v>
      </c>
      <c r="I126" s="12">
        <v>42</v>
      </c>
      <c r="J126" t="s">
        <v>153</v>
      </c>
      <c r="K126" t="s">
        <v>741</v>
      </c>
      <c r="L126" s="3" t="s">
        <v>190</v>
      </c>
      <c r="M126" s="27" t="s">
        <v>1593</v>
      </c>
      <c r="N126" s="27" t="s">
        <v>190</v>
      </c>
      <c r="O126" t="s">
        <v>182</v>
      </c>
      <c r="P126" t="s">
        <v>182</v>
      </c>
    </row>
    <row r="127" spans="1:16">
      <c r="A127" s="59">
        <v>111</v>
      </c>
      <c r="B127" t="s">
        <v>109</v>
      </c>
      <c r="C127" t="s">
        <v>141</v>
      </c>
      <c r="D127" s="60">
        <v>40430</v>
      </c>
      <c r="E127" s="60">
        <v>40487</v>
      </c>
      <c r="F127" s="60" t="str">
        <f t="shared" si="1"/>
        <v>Thursday</v>
      </c>
      <c r="G127" s="61" t="s">
        <v>1474</v>
      </c>
      <c r="H127" s="12">
        <v>3</v>
      </c>
      <c r="I127" s="12">
        <v>18</v>
      </c>
      <c r="J127" t="s">
        <v>153</v>
      </c>
      <c r="K127" t="s">
        <v>741</v>
      </c>
      <c r="L127" s="3" t="s">
        <v>190</v>
      </c>
      <c r="M127" s="27" t="s">
        <v>1594</v>
      </c>
      <c r="N127" s="27" t="s">
        <v>190</v>
      </c>
      <c r="O127" t="s">
        <v>182</v>
      </c>
      <c r="P127" t="s">
        <v>182</v>
      </c>
    </row>
    <row r="128" spans="1:16">
      <c r="A128" s="59">
        <v>111</v>
      </c>
      <c r="B128" t="s">
        <v>56</v>
      </c>
      <c r="C128" t="s">
        <v>141</v>
      </c>
      <c r="D128" s="60">
        <v>40442</v>
      </c>
      <c r="E128" s="60">
        <v>40443</v>
      </c>
      <c r="F128" s="60" t="str">
        <f t="shared" si="1"/>
        <v>Tuesday</v>
      </c>
      <c r="G128" s="61" t="s">
        <v>1475</v>
      </c>
      <c r="H128" s="12">
        <v>49</v>
      </c>
      <c r="I128" s="12">
        <v>73</v>
      </c>
      <c r="J128" t="s">
        <v>160</v>
      </c>
      <c r="K128" t="s">
        <v>740</v>
      </c>
      <c r="L128" s="3" t="s">
        <v>190</v>
      </c>
      <c r="M128" s="27" t="s">
        <v>190</v>
      </c>
      <c r="N128" s="27" t="s">
        <v>190</v>
      </c>
      <c r="O128" t="s">
        <v>182</v>
      </c>
      <c r="P128" t="s">
        <v>182</v>
      </c>
    </row>
    <row r="129" spans="1:16">
      <c r="A129" s="59">
        <v>111</v>
      </c>
      <c r="B129" t="s">
        <v>63</v>
      </c>
      <c r="C129" t="s">
        <v>141</v>
      </c>
      <c r="D129" s="60">
        <v>40456</v>
      </c>
      <c r="E129" s="60">
        <v>41094</v>
      </c>
      <c r="F129" s="60" t="str">
        <f t="shared" si="1"/>
        <v>Tuesday</v>
      </c>
      <c r="G129" s="61" t="s">
        <v>1476</v>
      </c>
      <c r="H129" s="12">
        <v>11</v>
      </c>
      <c r="I129" s="12">
        <v>54</v>
      </c>
      <c r="J129" s="3" t="s">
        <v>185</v>
      </c>
      <c r="K129" t="s">
        <v>741</v>
      </c>
      <c r="L129" s="3" t="s">
        <v>190</v>
      </c>
      <c r="M129" s="27" t="s">
        <v>190</v>
      </c>
      <c r="N129" s="27" t="s">
        <v>190</v>
      </c>
      <c r="O129" t="s">
        <v>182</v>
      </c>
      <c r="P129" t="s">
        <v>182</v>
      </c>
    </row>
    <row r="130" spans="1:16">
      <c r="A130" s="59">
        <v>112</v>
      </c>
      <c r="B130" t="s">
        <v>27</v>
      </c>
      <c r="C130" t="s">
        <v>141</v>
      </c>
      <c r="D130" s="60">
        <v>40546</v>
      </c>
      <c r="E130" s="60">
        <v>40547</v>
      </c>
      <c r="F130" s="60" t="str">
        <f t="shared" ref="F130:F193" si="2">TEXT(D130,"dddd")</f>
        <v>Monday</v>
      </c>
      <c r="G130" s="61" t="s">
        <v>748</v>
      </c>
      <c r="H130" s="12">
        <v>3</v>
      </c>
      <c r="I130" s="12">
        <v>53</v>
      </c>
      <c r="J130" t="s">
        <v>158</v>
      </c>
      <c r="K130" t="s">
        <v>742</v>
      </c>
      <c r="L130" s="3" t="s">
        <v>190</v>
      </c>
      <c r="M130" s="27" t="s">
        <v>190</v>
      </c>
      <c r="N130" s="27" t="s">
        <v>190</v>
      </c>
      <c r="O130" t="s">
        <v>182</v>
      </c>
      <c r="P130" t="s">
        <v>181</v>
      </c>
    </row>
    <row r="131" spans="1:16">
      <c r="A131" s="59">
        <v>112</v>
      </c>
      <c r="B131" t="s">
        <v>20</v>
      </c>
      <c r="C131" t="s">
        <v>141</v>
      </c>
      <c r="D131" s="60">
        <v>40583</v>
      </c>
      <c r="E131" s="60">
        <v>40584</v>
      </c>
      <c r="F131" s="60" t="str">
        <f t="shared" si="2"/>
        <v>Wednesday</v>
      </c>
      <c r="G131" s="61" t="s">
        <v>744</v>
      </c>
      <c r="H131" s="12">
        <v>27</v>
      </c>
      <c r="I131" s="12">
        <v>379</v>
      </c>
      <c r="J131" s="3" t="s">
        <v>160</v>
      </c>
      <c r="K131" t="s">
        <v>740</v>
      </c>
      <c r="L131" s="3" t="s">
        <v>190</v>
      </c>
      <c r="M131" s="27" t="s">
        <v>1595</v>
      </c>
      <c r="N131" s="27" t="s">
        <v>182</v>
      </c>
      <c r="O131" t="s">
        <v>181</v>
      </c>
      <c r="P131" s="3" t="s">
        <v>190</v>
      </c>
    </row>
    <row r="132" spans="1:16">
      <c r="A132" s="59">
        <v>112</v>
      </c>
      <c r="B132" t="s">
        <v>54</v>
      </c>
      <c r="C132" t="s">
        <v>141</v>
      </c>
      <c r="D132" s="60">
        <v>40588</v>
      </c>
      <c r="E132" s="60">
        <v>40726</v>
      </c>
      <c r="F132" s="60" t="str">
        <f t="shared" si="2"/>
        <v>Monday</v>
      </c>
      <c r="G132" s="61" t="s">
        <v>1477</v>
      </c>
      <c r="H132" s="12">
        <v>15</v>
      </c>
      <c r="I132" s="12">
        <v>25</v>
      </c>
      <c r="J132" s="3" t="s">
        <v>150</v>
      </c>
      <c r="K132" t="s">
        <v>742</v>
      </c>
      <c r="L132" s="3" t="s">
        <v>190</v>
      </c>
      <c r="M132" s="27" t="s">
        <v>1596</v>
      </c>
      <c r="N132" s="27" t="s">
        <v>190</v>
      </c>
      <c r="O132" t="s">
        <v>182</v>
      </c>
      <c r="P132" t="s">
        <v>181</v>
      </c>
    </row>
    <row r="133" spans="1:16">
      <c r="A133" s="59">
        <v>112</v>
      </c>
      <c r="B133" t="s">
        <v>28</v>
      </c>
      <c r="C133" t="s">
        <v>141</v>
      </c>
      <c r="D133" s="60">
        <v>40593</v>
      </c>
      <c r="E133" s="60">
        <v>40597</v>
      </c>
      <c r="F133" s="60" t="str">
        <f t="shared" si="2"/>
        <v>Saturday</v>
      </c>
      <c r="G133" s="61" t="s">
        <v>1478</v>
      </c>
      <c r="H133" s="12">
        <v>7</v>
      </c>
      <c r="I133" s="12">
        <v>46</v>
      </c>
      <c r="J133" s="3" t="s">
        <v>159</v>
      </c>
      <c r="K133" t="s">
        <v>740</v>
      </c>
      <c r="L133" s="3" t="s">
        <v>190</v>
      </c>
      <c r="M133" s="27" t="s">
        <v>190</v>
      </c>
      <c r="N133" s="27" t="s">
        <v>190</v>
      </c>
      <c r="O133" t="s">
        <v>181</v>
      </c>
      <c r="P133" s="3" t="s">
        <v>190</v>
      </c>
    </row>
    <row r="134" spans="1:16">
      <c r="A134" s="59">
        <v>112</v>
      </c>
      <c r="B134" t="s">
        <v>6</v>
      </c>
      <c r="C134" t="s">
        <v>141</v>
      </c>
      <c r="D134" s="60">
        <v>40609</v>
      </c>
      <c r="E134" s="60">
        <v>40609</v>
      </c>
      <c r="F134" s="60" t="str">
        <f t="shared" si="2"/>
        <v>Monday</v>
      </c>
      <c r="G134" s="61" t="s">
        <v>1479</v>
      </c>
      <c r="H134" s="12">
        <v>10</v>
      </c>
      <c r="I134" s="12">
        <v>30</v>
      </c>
      <c r="J134" t="s">
        <v>148</v>
      </c>
      <c r="K134" t="s">
        <v>740</v>
      </c>
      <c r="L134" s="3" t="s">
        <v>190</v>
      </c>
      <c r="M134" s="27" t="s">
        <v>190</v>
      </c>
      <c r="N134" s="27" t="s">
        <v>190</v>
      </c>
      <c r="O134" t="s">
        <v>182</v>
      </c>
      <c r="P134" t="s">
        <v>182</v>
      </c>
    </row>
    <row r="135" spans="1:16">
      <c r="A135" s="59">
        <v>112</v>
      </c>
      <c r="B135" s="3" t="s">
        <v>7</v>
      </c>
      <c r="C135" t="s">
        <v>141</v>
      </c>
      <c r="D135" s="60">
        <v>40691</v>
      </c>
      <c r="E135" s="60">
        <v>40693</v>
      </c>
      <c r="F135" s="60" t="str">
        <f t="shared" si="2"/>
        <v>Saturday</v>
      </c>
      <c r="G135" s="61" t="s">
        <v>1480</v>
      </c>
      <c r="H135" s="12">
        <v>14</v>
      </c>
      <c r="I135" s="12">
        <v>240</v>
      </c>
      <c r="J135" s="3" t="s">
        <v>160</v>
      </c>
      <c r="K135" t="s">
        <v>740</v>
      </c>
      <c r="L135" s="3" t="s">
        <v>190</v>
      </c>
      <c r="M135" s="27" t="s">
        <v>1597</v>
      </c>
      <c r="N135" s="27" t="s">
        <v>190</v>
      </c>
      <c r="O135" t="s">
        <v>181</v>
      </c>
      <c r="P135" s="3" t="s">
        <v>190</v>
      </c>
    </row>
    <row r="136" spans="1:16">
      <c r="A136" s="59">
        <v>112</v>
      </c>
      <c r="B136" t="s">
        <v>111</v>
      </c>
      <c r="C136" t="s">
        <v>141</v>
      </c>
      <c r="D136" s="60">
        <v>40735</v>
      </c>
      <c r="E136" s="60">
        <v>41376</v>
      </c>
      <c r="F136" s="60" t="str">
        <f t="shared" si="2"/>
        <v>Monday</v>
      </c>
      <c r="G136" s="61" t="s">
        <v>1481</v>
      </c>
      <c r="H136" s="12">
        <v>17</v>
      </c>
      <c r="I136" s="12">
        <v>35</v>
      </c>
      <c r="J136" s="3" t="s">
        <v>159</v>
      </c>
      <c r="K136" t="s">
        <v>740</v>
      </c>
      <c r="L136" s="3" t="s">
        <v>190</v>
      </c>
      <c r="M136" s="27" t="s">
        <v>190</v>
      </c>
      <c r="N136" s="27" t="s">
        <v>190</v>
      </c>
      <c r="O136" t="s">
        <v>182</v>
      </c>
      <c r="P136" t="s">
        <v>182</v>
      </c>
    </row>
    <row r="137" spans="1:16">
      <c r="A137" s="59">
        <v>112</v>
      </c>
      <c r="B137" t="s">
        <v>28</v>
      </c>
      <c r="C137" t="s">
        <v>141</v>
      </c>
      <c r="D137" s="60">
        <v>40746</v>
      </c>
      <c r="E137" s="60">
        <v>40748</v>
      </c>
      <c r="F137" s="60" t="str">
        <f t="shared" si="2"/>
        <v>Friday</v>
      </c>
      <c r="G137" s="62" t="s">
        <v>1337</v>
      </c>
      <c r="H137" s="12">
        <v>10</v>
      </c>
      <c r="I137" s="12">
        <v>254</v>
      </c>
      <c r="J137" t="s">
        <v>148</v>
      </c>
      <c r="K137" t="s">
        <v>740</v>
      </c>
      <c r="L137" s="3" t="s">
        <v>190</v>
      </c>
      <c r="M137" s="27" t="s">
        <v>1598</v>
      </c>
      <c r="N137" s="27" t="s">
        <v>182</v>
      </c>
      <c r="O137" t="s">
        <v>181</v>
      </c>
      <c r="P137" s="3" t="s">
        <v>190</v>
      </c>
    </row>
    <row r="138" spans="1:16">
      <c r="A138" s="59">
        <v>112</v>
      </c>
      <c r="B138" t="s">
        <v>136</v>
      </c>
      <c r="C138" t="s">
        <v>141</v>
      </c>
      <c r="D138" s="60">
        <v>40752</v>
      </c>
      <c r="E138" s="60">
        <v>40753</v>
      </c>
      <c r="F138" s="60" t="str">
        <f t="shared" si="2"/>
        <v>Thursday</v>
      </c>
      <c r="G138" s="61" t="s">
        <v>1482</v>
      </c>
      <c r="H138" s="12">
        <v>67</v>
      </c>
      <c r="I138" s="12">
        <v>120</v>
      </c>
      <c r="J138" s="3" t="s">
        <v>177</v>
      </c>
      <c r="K138" t="s">
        <v>740</v>
      </c>
      <c r="L138" s="3" t="s">
        <v>190</v>
      </c>
      <c r="M138" s="27" t="s">
        <v>190</v>
      </c>
      <c r="N138" s="27" t="s">
        <v>190</v>
      </c>
      <c r="O138" t="s">
        <v>182</v>
      </c>
      <c r="P138" t="s">
        <v>181</v>
      </c>
    </row>
    <row r="139" spans="1:16">
      <c r="A139" s="59">
        <v>112</v>
      </c>
      <c r="B139" t="s">
        <v>104</v>
      </c>
      <c r="C139" t="s">
        <v>141</v>
      </c>
      <c r="D139" s="60">
        <v>40792</v>
      </c>
      <c r="E139" s="60">
        <v>40792</v>
      </c>
      <c r="F139" s="60" t="str">
        <f t="shared" si="2"/>
        <v>Tuesday</v>
      </c>
      <c r="G139" s="61" t="s">
        <v>1483</v>
      </c>
      <c r="H139" s="12">
        <v>7</v>
      </c>
      <c r="I139" s="12">
        <v>33</v>
      </c>
      <c r="J139" s="3" t="s">
        <v>168</v>
      </c>
      <c r="K139" t="s">
        <v>741</v>
      </c>
      <c r="L139" s="3" t="s">
        <v>190</v>
      </c>
      <c r="M139" s="27" t="s">
        <v>1553</v>
      </c>
      <c r="N139" s="27" t="s">
        <v>190</v>
      </c>
      <c r="O139" s="3" t="s">
        <v>182</v>
      </c>
      <c r="P139" s="3" t="s">
        <v>181</v>
      </c>
    </row>
    <row r="140" spans="1:16">
      <c r="A140" s="59">
        <v>112</v>
      </c>
      <c r="B140" t="s">
        <v>73</v>
      </c>
      <c r="C140" t="s">
        <v>141</v>
      </c>
      <c r="D140" s="60">
        <v>40851</v>
      </c>
      <c r="E140" s="60">
        <v>41123</v>
      </c>
      <c r="F140" s="60" t="str">
        <f t="shared" si="2"/>
        <v>Friday</v>
      </c>
      <c r="G140" s="61" t="s">
        <v>1484</v>
      </c>
      <c r="H140" s="12">
        <v>20</v>
      </c>
      <c r="I140" s="12">
        <v>23</v>
      </c>
      <c r="J140" s="3" t="s">
        <v>168</v>
      </c>
      <c r="K140" t="s">
        <v>741</v>
      </c>
      <c r="L140" s="3" t="s">
        <v>190</v>
      </c>
      <c r="M140" s="27" t="s">
        <v>1599</v>
      </c>
      <c r="N140" s="27" t="s">
        <v>190</v>
      </c>
      <c r="O140" t="s">
        <v>182</v>
      </c>
      <c r="P140" t="s">
        <v>181</v>
      </c>
    </row>
    <row r="141" spans="1:16">
      <c r="A141" s="59">
        <v>112</v>
      </c>
      <c r="B141" t="s">
        <v>112</v>
      </c>
      <c r="C141" t="s">
        <v>141</v>
      </c>
      <c r="D141" s="60">
        <v>40861</v>
      </c>
      <c r="E141" s="60">
        <v>40868</v>
      </c>
      <c r="F141" s="60" t="str">
        <f t="shared" si="2"/>
        <v>Monday</v>
      </c>
      <c r="G141" s="61" t="s">
        <v>1485</v>
      </c>
      <c r="H141" s="12">
        <v>13</v>
      </c>
      <c r="I141" s="12">
        <v>94</v>
      </c>
      <c r="J141" s="3" t="s">
        <v>155</v>
      </c>
      <c r="K141" t="s">
        <v>741</v>
      </c>
      <c r="L141" s="3" t="s">
        <v>190</v>
      </c>
      <c r="M141" s="27" t="s">
        <v>190</v>
      </c>
      <c r="N141" s="27" t="s">
        <v>190</v>
      </c>
      <c r="O141" t="s">
        <v>182</v>
      </c>
      <c r="P141" t="s">
        <v>182</v>
      </c>
    </row>
    <row r="142" spans="1:16">
      <c r="A142" s="59">
        <v>112</v>
      </c>
      <c r="B142" s="3" t="s">
        <v>100</v>
      </c>
      <c r="C142" t="s">
        <v>141</v>
      </c>
      <c r="D142" s="60">
        <v>40869</v>
      </c>
      <c r="E142" s="60">
        <v>40869</v>
      </c>
      <c r="F142" s="60" t="str">
        <f t="shared" si="2"/>
        <v>Tuesday</v>
      </c>
      <c r="G142" s="61" t="s">
        <v>1486</v>
      </c>
      <c r="H142" s="12">
        <v>15</v>
      </c>
      <c r="I142" s="12">
        <v>16</v>
      </c>
      <c r="J142" s="3" t="s">
        <v>145</v>
      </c>
      <c r="K142" t="s">
        <v>741</v>
      </c>
      <c r="L142" s="3" t="s">
        <v>190</v>
      </c>
      <c r="M142" s="27" t="s">
        <v>1600</v>
      </c>
      <c r="N142" s="27" t="s">
        <v>190</v>
      </c>
      <c r="O142" t="s">
        <v>182</v>
      </c>
      <c r="P142" t="s">
        <v>182</v>
      </c>
    </row>
    <row r="143" spans="1:16">
      <c r="A143" s="59">
        <v>112</v>
      </c>
      <c r="B143" t="s">
        <v>129</v>
      </c>
      <c r="C143" t="s">
        <v>141</v>
      </c>
      <c r="D143" s="60">
        <v>40900</v>
      </c>
      <c r="E143" s="60">
        <v>40946</v>
      </c>
      <c r="F143" s="60" t="str">
        <f t="shared" si="2"/>
        <v>Friday</v>
      </c>
      <c r="G143" s="61" t="s">
        <v>1487</v>
      </c>
      <c r="H143" s="12">
        <v>20</v>
      </c>
      <c r="I143" s="12">
        <v>11</v>
      </c>
      <c r="J143" t="s">
        <v>158</v>
      </c>
      <c r="K143" t="s">
        <v>742</v>
      </c>
      <c r="L143" s="3" t="s">
        <v>190</v>
      </c>
      <c r="M143" s="27" t="s">
        <v>190</v>
      </c>
      <c r="N143" s="27" t="s">
        <v>190</v>
      </c>
      <c r="O143" t="s">
        <v>182</v>
      </c>
      <c r="P143" t="s">
        <v>182</v>
      </c>
    </row>
    <row r="144" spans="1:16">
      <c r="A144" s="59">
        <v>112</v>
      </c>
      <c r="B144" t="s">
        <v>49</v>
      </c>
      <c r="C144" t="s">
        <v>141</v>
      </c>
      <c r="D144" s="60">
        <v>40922</v>
      </c>
      <c r="E144" s="60">
        <v>40922</v>
      </c>
      <c r="F144" s="60" t="str">
        <f t="shared" si="2"/>
        <v>Saturday</v>
      </c>
      <c r="G144" s="61" t="s">
        <v>1488</v>
      </c>
      <c r="H144" s="12">
        <v>24</v>
      </c>
      <c r="I144" s="12">
        <v>27</v>
      </c>
      <c r="J144" s="3" t="s">
        <v>150</v>
      </c>
      <c r="K144" t="s">
        <v>742</v>
      </c>
      <c r="L144" s="3" t="s">
        <v>190</v>
      </c>
      <c r="M144" s="27" t="s">
        <v>190</v>
      </c>
      <c r="N144" s="27" t="s">
        <v>190</v>
      </c>
      <c r="O144" t="s">
        <v>182</v>
      </c>
      <c r="P144" t="s">
        <v>182</v>
      </c>
    </row>
    <row r="145" spans="1:16">
      <c r="A145" s="59">
        <v>112</v>
      </c>
      <c r="B145" t="s">
        <v>90</v>
      </c>
      <c r="C145" t="s">
        <v>141</v>
      </c>
      <c r="D145" s="60">
        <v>40926</v>
      </c>
      <c r="E145" s="60">
        <v>40926</v>
      </c>
      <c r="F145" s="60" t="str">
        <f t="shared" si="2"/>
        <v>Wednesday</v>
      </c>
      <c r="G145" s="61" t="s">
        <v>1489</v>
      </c>
      <c r="H145" s="12">
        <v>2</v>
      </c>
      <c r="I145" s="12">
        <v>7</v>
      </c>
      <c r="J145" s="3" t="s">
        <v>150</v>
      </c>
      <c r="K145" t="s">
        <v>742</v>
      </c>
      <c r="L145" s="3" t="s">
        <v>190</v>
      </c>
      <c r="M145" s="27" t="s">
        <v>190</v>
      </c>
      <c r="N145" s="27" t="s">
        <v>190</v>
      </c>
      <c r="O145" t="s">
        <v>181</v>
      </c>
      <c r="P145" s="3" t="s">
        <v>190</v>
      </c>
    </row>
    <row r="146" spans="1:16">
      <c r="A146" s="59">
        <v>112</v>
      </c>
      <c r="B146" t="s">
        <v>85</v>
      </c>
      <c r="C146" t="s">
        <v>141</v>
      </c>
      <c r="D146" s="60">
        <v>40936</v>
      </c>
      <c r="E146" s="60">
        <v>40936</v>
      </c>
      <c r="F146" s="60" t="str">
        <f t="shared" si="2"/>
        <v>Saturday</v>
      </c>
      <c r="G146" s="61" t="s">
        <v>1490</v>
      </c>
      <c r="H146" s="12">
        <v>15</v>
      </c>
      <c r="I146" s="12">
        <v>22</v>
      </c>
      <c r="J146" s="3" t="s">
        <v>741</v>
      </c>
      <c r="K146" t="s">
        <v>742</v>
      </c>
      <c r="L146" s="3" t="s">
        <v>190</v>
      </c>
      <c r="M146" s="27" t="s">
        <v>1601</v>
      </c>
      <c r="N146" s="27" t="s">
        <v>190</v>
      </c>
      <c r="O146" t="s">
        <v>182</v>
      </c>
      <c r="P146" t="s">
        <v>182</v>
      </c>
    </row>
    <row r="147" spans="1:16">
      <c r="A147" s="59">
        <v>112</v>
      </c>
      <c r="B147" t="s">
        <v>46</v>
      </c>
      <c r="C147" t="s">
        <v>142</v>
      </c>
      <c r="D147" s="60">
        <v>40954</v>
      </c>
      <c r="E147" s="60">
        <v>40955</v>
      </c>
      <c r="F147" s="60" t="str">
        <f t="shared" si="2"/>
        <v>Wednesday</v>
      </c>
      <c r="G147" s="61" t="s">
        <v>1491</v>
      </c>
      <c r="H147" s="12">
        <v>263</v>
      </c>
      <c r="I147" s="12">
        <v>281</v>
      </c>
      <c r="J147" t="s">
        <v>152</v>
      </c>
      <c r="K147" t="s">
        <v>742</v>
      </c>
      <c r="L147" s="3" t="s">
        <v>190</v>
      </c>
      <c r="M147" s="27" t="s">
        <v>190</v>
      </c>
      <c r="N147" s="27" t="s">
        <v>190</v>
      </c>
      <c r="O147" t="s">
        <v>181</v>
      </c>
      <c r="P147" s="3" t="s">
        <v>190</v>
      </c>
    </row>
    <row r="148" spans="1:16">
      <c r="A148" s="59">
        <v>112</v>
      </c>
      <c r="B148" t="s">
        <v>22</v>
      </c>
      <c r="C148" t="s">
        <v>141</v>
      </c>
      <c r="D148" s="60">
        <v>40975</v>
      </c>
      <c r="E148" s="60">
        <v>40979</v>
      </c>
      <c r="F148" s="60" t="str">
        <f t="shared" si="2"/>
        <v>Wednesday</v>
      </c>
      <c r="G148" s="61" t="s">
        <v>1365</v>
      </c>
      <c r="H148" s="12">
        <v>11</v>
      </c>
      <c r="I148" s="12">
        <v>19</v>
      </c>
      <c r="J148" s="3" t="s">
        <v>156</v>
      </c>
      <c r="K148" t="s">
        <v>741</v>
      </c>
      <c r="L148" s="3" t="s">
        <v>190</v>
      </c>
      <c r="M148" s="27" t="s">
        <v>190</v>
      </c>
      <c r="N148" s="27" t="s">
        <v>190</v>
      </c>
      <c r="O148" t="s">
        <v>182</v>
      </c>
      <c r="P148" t="s">
        <v>181</v>
      </c>
    </row>
    <row r="149" spans="1:16">
      <c r="A149" s="59">
        <v>112</v>
      </c>
      <c r="B149" s="3" t="s">
        <v>209</v>
      </c>
      <c r="C149" s="3" t="s">
        <v>141</v>
      </c>
      <c r="D149" s="70">
        <v>40990</v>
      </c>
      <c r="E149" s="70">
        <v>40990</v>
      </c>
      <c r="F149" s="60" t="str">
        <f t="shared" si="2"/>
        <v>Thursday</v>
      </c>
      <c r="G149" s="61" t="s">
        <v>749</v>
      </c>
      <c r="H149" s="12">
        <v>2</v>
      </c>
      <c r="I149" s="12">
        <v>11</v>
      </c>
      <c r="J149" s="3" t="s">
        <v>145</v>
      </c>
      <c r="K149" t="s">
        <v>741</v>
      </c>
      <c r="L149" s="3" t="s">
        <v>190</v>
      </c>
      <c r="M149" s="27" t="s">
        <v>190</v>
      </c>
      <c r="N149" s="27" t="s">
        <v>190</v>
      </c>
      <c r="O149" s="3" t="s">
        <v>182</v>
      </c>
      <c r="P149" s="3" t="s">
        <v>181</v>
      </c>
    </row>
    <row r="150" spans="1:16">
      <c r="A150" s="71">
        <v>112</v>
      </c>
      <c r="B150" s="3" t="s">
        <v>211</v>
      </c>
      <c r="C150" s="3" t="s">
        <v>142</v>
      </c>
      <c r="D150" s="60">
        <v>41054</v>
      </c>
      <c r="E150" s="60">
        <v>41055</v>
      </c>
      <c r="F150" s="60" t="str">
        <f t="shared" si="2"/>
        <v>Friday</v>
      </c>
      <c r="G150" s="61" t="s">
        <v>1513</v>
      </c>
      <c r="H150" s="12">
        <v>47</v>
      </c>
      <c r="I150" s="12">
        <v>23</v>
      </c>
      <c r="J150" s="3" t="s">
        <v>739</v>
      </c>
      <c r="K150" s="3" t="s">
        <v>742</v>
      </c>
      <c r="L150" s="3" t="s">
        <v>190</v>
      </c>
      <c r="M150" s="27" t="s">
        <v>1557</v>
      </c>
      <c r="N150" s="27" t="s">
        <v>190</v>
      </c>
      <c r="O150" s="3" t="s">
        <v>181</v>
      </c>
      <c r="P150" s="3" t="s">
        <v>190</v>
      </c>
    </row>
    <row r="151" spans="1:16">
      <c r="A151" s="59">
        <v>112</v>
      </c>
      <c r="B151" t="s">
        <v>116</v>
      </c>
      <c r="C151" t="s">
        <v>141</v>
      </c>
      <c r="D151" s="60">
        <v>41055</v>
      </c>
      <c r="E151" s="60">
        <v>41059</v>
      </c>
      <c r="F151" s="60" t="str">
        <f t="shared" si="2"/>
        <v>Saturday</v>
      </c>
      <c r="G151" s="61" t="s">
        <v>1492</v>
      </c>
      <c r="H151" s="12">
        <v>13</v>
      </c>
      <c r="I151" s="12">
        <v>26</v>
      </c>
      <c r="J151" s="3" t="s">
        <v>156</v>
      </c>
      <c r="K151" t="s">
        <v>741</v>
      </c>
      <c r="L151" s="3" t="s">
        <v>190</v>
      </c>
      <c r="M151" s="27" t="s">
        <v>1602</v>
      </c>
      <c r="N151" s="27" t="s">
        <v>190</v>
      </c>
      <c r="O151" t="s">
        <v>181</v>
      </c>
      <c r="P151" s="3" t="s">
        <v>190</v>
      </c>
    </row>
    <row r="152" spans="1:16">
      <c r="A152" s="59">
        <v>112</v>
      </c>
      <c r="B152" t="s">
        <v>80</v>
      </c>
      <c r="C152" t="s">
        <v>142</v>
      </c>
      <c r="D152" s="60">
        <v>41058</v>
      </c>
      <c r="E152" s="60">
        <v>41059</v>
      </c>
      <c r="F152" s="60" t="str">
        <f t="shared" si="2"/>
        <v>Tuesday</v>
      </c>
      <c r="G152" s="61" t="s">
        <v>1493</v>
      </c>
      <c r="H152" s="12">
        <v>28</v>
      </c>
      <c r="I152" s="12">
        <v>41</v>
      </c>
      <c r="J152" t="s">
        <v>158</v>
      </c>
      <c r="K152" t="s">
        <v>742</v>
      </c>
      <c r="L152" s="3" t="s">
        <v>190</v>
      </c>
      <c r="M152" s="27" t="s">
        <v>190</v>
      </c>
      <c r="N152" s="27" t="s">
        <v>190</v>
      </c>
      <c r="O152" t="s">
        <v>182</v>
      </c>
      <c r="P152" t="s">
        <v>181</v>
      </c>
    </row>
    <row r="153" spans="1:16">
      <c r="A153" s="59">
        <v>112</v>
      </c>
      <c r="B153" t="s">
        <v>125</v>
      </c>
      <c r="C153" t="s">
        <v>141</v>
      </c>
      <c r="D153" s="60">
        <v>41136</v>
      </c>
      <c r="E153" s="60">
        <v>41482</v>
      </c>
      <c r="F153" s="60" t="str">
        <f t="shared" si="2"/>
        <v>Wednesday</v>
      </c>
      <c r="G153" s="61" t="s">
        <v>1494</v>
      </c>
      <c r="H153" s="12">
        <v>10</v>
      </c>
      <c r="I153" s="12">
        <v>20</v>
      </c>
      <c r="J153" t="s">
        <v>146</v>
      </c>
      <c r="K153" t="s">
        <v>742</v>
      </c>
      <c r="L153" s="3" t="s">
        <v>190</v>
      </c>
      <c r="M153" s="27" t="s">
        <v>1603</v>
      </c>
      <c r="N153" s="27" t="s">
        <v>190</v>
      </c>
      <c r="O153" t="s">
        <v>182</v>
      </c>
      <c r="P153" t="s">
        <v>181</v>
      </c>
    </row>
    <row r="154" spans="1:16">
      <c r="A154" s="59">
        <v>112</v>
      </c>
      <c r="B154" t="s">
        <v>8</v>
      </c>
      <c r="C154" t="s">
        <v>141</v>
      </c>
      <c r="D154" s="60">
        <v>41140</v>
      </c>
      <c r="E154" s="60">
        <v>41142</v>
      </c>
      <c r="F154" s="60" t="str">
        <f t="shared" si="2"/>
        <v>Sunday</v>
      </c>
      <c r="G154" s="61" t="s">
        <v>1495</v>
      </c>
      <c r="H154" s="12">
        <v>8</v>
      </c>
      <c r="I154" s="12">
        <v>45</v>
      </c>
      <c r="J154" t="s">
        <v>149</v>
      </c>
      <c r="K154" t="s">
        <v>740</v>
      </c>
      <c r="L154" s="3" t="s">
        <v>190</v>
      </c>
      <c r="M154" s="27" t="s">
        <v>190</v>
      </c>
      <c r="N154" s="27" t="s">
        <v>190</v>
      </c>
      <c r="O154" t="s">
        <v>182</v>
      </c>
      <c r="P154" t="s">
        <v>181</v>
      </c>
    </row>
    <row r="155" spans="1:16">
      <c r="A155" s="59">
        <v>112</v>
      </c>
      <c r="B155" t="s">
        <v>55</v>
      </c>
      <c r="C155" t="s">
        <v>141</v>
      </c>
      <c r="D155" s="60">
        <v>41140</v>
      </c>
      <c r="E155" s="60">
        <v>41142</v>
      </c>
      <c r="F155" s="60" t="str">
        <f t="shared" si="2"/>
        <v>Sunday</v>
      </c>
      <c r="G155" s="61" t="s">
        <v>1368</v>
      </c>
      <c r="H155" s="12">
        <v>14</v>
      </c>
      <c r="I155" s="12">
        <v>29</v>
      </c>
      <c r="J155" t="s">
        <v>149</v>
      </c>
      <c r="K155" t="s">
        <v>740</v>
      </c>
      <c r="L155" s="3" t="s">
        <v>190</v>
      </c>
      <c r="M155" s="27" t="s">
        <v>190</v>
      </c>
      <c r="N155" s="27" t="s">
        <v>190</v>
      </c>
      <c r="O155" t="s">
        <v>182</v>
      </c>
      <c r="P155" t="s">
        <v>182</v>
      </c>
    </row>
    <row r="156" spans="1:16">
      <c r="A156" s="59">
        <v>112</v>
      </c>
      <c r="B156" t="s">
        <v>71</v>
      </c>
      <c r="C156" t="s">
        <v>141</v>
      </c>
      <c r="D156" s="60">
        <v>41140</v>
      </c>
      <c r="E156" s="60">
        <v>41141</v>
      </c>
      <c r="F156" s="60" t="str">
        <f t="shared" si="2"/>
        <v>Sunday</v>
      </c>
      <c r="G156" s="61" t="s">
        <v>1496</v>
      </c>
      <c r="H156" s="12">
        <v>1</v>
      </c>
      <c r="I156" s="12">
        <v>159</v>
      </c>
      <c r="J156" t="s">
        <v>149</v>
      </c>
      <c r="K156" t="s">
        <v>740</v>
      </c>
      <c r="L156" s="3" t="s">
        <v>190</v>
      </c>
      <c r="M156" s="27" t="s">
        <v>190</v>
      </c>
      <c r="N156" s="27" t="s">
        <v>190</v>
      </c>
      <c r="O156" t="s">
        <v>182</v>
      </c>
      <c r="P156" t="s">
        <v>182</v>
      </c>
    </row>
    <row r="157" spans="1:16">
      <c r="A157" s="59">
        <v>112</v>
      </c>
      <c r="B157" t="s">
        <v>85</v>
      </c>
      <c r="C157" t="s">
        <v>141</v>
      </c>
      <c r="D157" s="60">
        <v>41140</v>
      </c>
      <c r="E157" s="60">
        <v>41141</v>
      </c>
      <c r="F157" s="60" t="str">
        <f t="shared" si="2"/>
        <v>Sunday</v>
      </c>
      <c r="G157" s="61" t="s">
        <v>1367</v>
      </c>
      <c r="H157" s="12">
        <v>12</v>
      </c>
      <c r="I157" s="12">
        <v>39</v>
      </c>
      <c r="J157" t="s">
        <v>149</v>
      </c>
      <c r="K157" t="s">
        <v>740</v>
      </c>
      <c r="L157" s="3" t="s">
        <v>190</v>
      </c>
      <c r="M157" s="27" t="s">
        <v>190</v>
      </c>
      <c r="N157" s="27" t="s">
        <v>190</v>
      </c>
      <c r="O157" t="s">
        <v>182</v>
      </c>
      <c r="P157" t="s">
        <v>182</v>
      </c>
    </row>
    <row r="158" spans="1:16">
      <c r="A158" s="59">
        <v>112</v>
      </c>
      <c r="B158" t="s">
        <v>122</v>
      </c>
      <c r="C158" t="s">
        <v>141</v>
      </c>
      <c r="D158" s="60">
        <v>41140</v>
      </c>
      <c r="E158" s="60">
        <v>41141</v>
      </c>
      <c r="F158" s="60" t="str">
        <f t="shared" si="2"/>
        <v>Sunday</v>
      </c>
      <c r="G158" s="61" t="s">
        <v>1497</v>
      </c>
      <c r="H158" s="12">
        <v>14</v>
      </c>
      <c r="I158" s="12">
        <v>38</v>
      </c>
      <c r="J158" t="s">
        <v>149</v>
      </c>
      <c r="K158" t="s">
        <v>740</v>
      </c>
      <c r="L158" s="3" t="s">
        <v>190</v>
      </c>
      <c r="M158" s="27" t="s">
        <v>190</v>
      </c>
      <c r="N158" s="27" t="s">
        <v>190</v>
      </c>
      <c r="O158" t="s">
        <v>182</v>
      </c>
      <c r="P158" t="s">
        <v>182</v>
      </c>
    </row>
    <row r="159" spans="1:16">
      <c r="A159" s="59">
        <v>112</v>
      </c>
      <c r="B159" t="s">
        <v>138</v>
      </c>
      <c r="C159" t="s">
        <v>141</v>
      </c>
      <c r="D159" s="60">
        <v>41140</v>
      </c>
      <c r="E159" s="60">
        <v>41141</v>
      </c>
      <c r="F159" s="60" t="str">
        <f t="shared" si="2"/>
        <v>Sunday</v>
      </c>
      <c r="G159" s="61" t="s">
        <v>1366</v>
      </c>
      <c r="H159" s="12">
        <v>23</v>
      </c>
      <c r="I159" s="12">
        <v>31</v>
      </c>
      <c r="J159" t="s">
        <v>149</v>
      </c>
      <c r="K159" t="s">
        <v>740</v>
      </c>
      <c r="L159" s="3" t="s">
        <v>190</v>
      </c>
      <c r="M159" s="27" t="s">
        <v>190</v>
      </c>
      <c r="N159" s="27" t="s">
        <v>190</v>
      </c>
      <c r="O159" t="s">
        <v>182</v>
      </c>
      <c r="P159" t="s">
        <v>182</v>
      </c>
    </row>
    <row r="160" spans="1:16">
      <c r="A160" s="59">
        <v>112</v>
      </c>
      <c r="B160" t="s">
        <v>27</v>
      </c>
      <c r="C160" t="s">
        <v>141</v>
      </c>
      <c r="D160" s="60">
        <v>41143</v>
      </c>
      <c r="E160" s="60">
        <v>41205</v>
      </c>
      <c r="F160" s="60" t="str">
        <f t="shared" si="2"/>
        <v>Wednesday</v>
      </c>
      <c r="G160" s="61" t="s">
        <v>1660</v>
      </c>
      <c r="H160" s="12">
        <v>10</v>
      </c>
      <c r="I160" s="12">
        <v>30</v>
      </c>
      <c r="J160" s="3" t="s">
        <v>156</v>
      </c>
      <c r="K160" t="s">
        <v>741</v>
      </c>
      <c r="L160" s="3" t="s">
        <v>190</v>
      </c>
      <c r="M160" s="27" t="s">
        <v>190</v>
      </c>
      <c r="N160" s="27" t="s">
        <v>190</v>
      </c>
      <c r="O160" t="s">
        <v>182</v>
      </c>
      <c r="P160" t="s">
        <v>181</v>
      </c>
    </row>
    <row r="161" spans="1:16">
      <c r="A161" s="59">
        <v>112</v>
      </c>
      <c r="B161" t="s">
        <v>110</v>
      </c>
      <c r="C161" t="s">
        <v>141</v>
      </c>
      <c r="D161" s="60">
        <v>41192</v>
      </c>
      <c r="E161" s="60">
        <v>41193</v>
      </c>
      <c r="F161" s="60" t="str">
        <f t="shared" si="2"/>
        <v>Wednesday</v>
      </c>
      <c r="G161" s="61" t="s">
        <v>1498</v>
      </c>
      <c r="H161" s="12">
        <v>5</v>
      </c>
      <c r="I161" s="12">
        <v>36</v>
      </c>
      <c r="J161" t="s">
        <v>160</v>
      </c>
      <c r="K161" t="s">
        <v>740</v>
      </c>
      <c r="L161" s="3" t="s">
        <v>190</v>
      </c>
      <c r="M161" s="27" t="s">
        <v>1604</v>
      </c>
      <c r="N161" s="27" t="s">
        <v>190</v>
      </c>
      <c r="O161" t="s">
        <v>182</v>
      </c>
      <c r="P161" t="s">
        <v>182</v>
      </c>
    </row>
    <row r="162" spans="1:16">
      <c r="A162" s="59">
        <v>112</v>
      </c>
      <c r="B162" t="s">
        <v>102</v>
      </c>
      <c r="C162" t="s">
        <v>142</v>
      </c>
      <c r="D162" s="60">
        <v>41214</v>
      </c>
      <c r="E162" s="60">
        <v>41215</v>
      </c>
      <c r="F162" s="60" t="str">
        <f t="shared" si="2"/>
        <v>Thursday</v>
      </c>
      <c r="G162" s="61" t="s">
        <v>1499</v>
      </c>
      <c r="H162" s="12">
        <v>43</v>
      </c>
      <c r="I162" s="12">
        <v>105</v>
      </c>
      <c r="J162" t="s">
        <v>174</v>
      </c>
      <c r="K162" t="s">
        <v>740</v>
      </c>
      <c r="L162" s="3" t="s">
        <v>190</v>
      </c>
      <c r="M162" s="27" t="s">
        <v>1585</v>
      </c>
      <c r="N162" s="27" t="s">
        <v>190</v>
      </c>
      <c r="O162" t="s">
        <v>182</v>
      </c>
      <c r="P162" t="s">
        <v>182</v>
      </c>
    </row>
    <row r="163" spans="1:16">
      <c r="A163" s="59">
        <v>112</v>
      </c>
      <c r="B163" t="s">
        <v>126</v>
      </c>
      <c r="C163" t="s">
        <v>141</v>
      </c>
      <c r="D163" s="60">
        <v>41247</v>
      </c>
      <c r="E163" s="60">
        <v>41248</v>
      </c>
      <c r="F163" s="60" t="str">
        <f t="shared" si="2"/>
        <v>Tuesday</v>
      </c>
      <c r="G163" s="61" t="s">
        <v>1500</v>
      </c>
      <c r="H163" s="12">
        <v>15</v>
      </c>
      <c r="I163" s="12">
        <v>18</v>
      </c>
      <c r="J163" s="3" t="s">
        <v>165</v>
      </c>
      <c r="K163" t="s">
        <v>740</v>
      </c>
      <c r="L163" s="3" t="s">
        <v>190</v>
      </c>
      <c r="M163" s="27" t="s">
        <v>190</v>
      </c>
      <c r="N163" s="27" t="s">
        <v>190</v>
      </c>
      <c r="O163" t="s">
        <v>182</v>
      </c>
      <c r="P163" t="s">
        <v>182</v>
      </c>
    </row>
    <row r="164" spans="1:16">
      <c r="A164" s="59">
        <v>112</v>
      </c>
      <c r="B164" t="s">
        <v>84</v>
      </c>
      <c r="C164" t="s">
        <v>142</v>
      </c>
      <c r="D164" s="60">
        <v>41266</v>
      </c>
      <c r="E164" s="60">
        <v>41997</v>
      </c>
      <c r="F164" s="60" t="str">
        <f t="shared" si="2"/>
        <v>Sunday</v>
      </c>
      <c r="G164" s="61" t="s">
        <v>1501</v>
      </c>
      <c r="H164" s="12">
        <v>18</v>
      </c>
      <c r="I164" s="12">
        <v>113</v>
      </c>
      <c r="J164" s="3" t="s">
        <v>171</v>
      </c>
      <c r="K164" t="s">
        <v>740</v>
      </c>
      <c r="L164" s="3" t="s">
        <v>190</v>
      </c>
      <c r="M164" s="27" t="s">
        <v>1605</v>
      </c>
      <c r="N164" s="27" t="s">
        <v>190</v>
      </c>
      <c r="O164" t="s">
        <v>182</v>
      </c>
      <c r="P164" t="s">
        <v>182</v>
      </c>
    </row>
    <row r="165" spans="1:16">
      <c r="A165" s="59">
        <v>113</v>
      </c>
      <c r="B165" t="s">
        <v>86</v>
      </c>
      <c r="C165" t="s">
        <v>141</v>
      </c>
      <c r="D165" s="60">
        <v>41284</v>
      </c>
      <c r="E165" s="60">
        <v>41359</v>
      </c>
      <c r="F165" s="60" t="str">
        <f t="shared" si="2"/>
        <v>Thursday</v>
      </c>
      <c r="G165" s="61" t="s">
        <v>1514</v>
      </c>
      <c r="H165" s="12">
        <v>45</v>
      </c>
      <c r="I165" s="12">
        <v>50</v>
      </c>
      <c r="J165" t="s">
        <v>172</v>
      </c>
      <c r="K165" t="s">
        <v>740</v>
      </c>
      <c r="L165" s="3" t="s">
        <v>190</v>
      </c>
      <c r="M165" s="27" t="s">
        <v>1606</v>
      </c>
      <c r="N165" s="27" t="s">
        <v>190</v>
      </c>
      <c r="O165" t="s">
        <v>181</v>
      </c>
      <c r="P165" s="3" t="s">
        <v>190</v>
      </c>
    </row>
    <row r="166" spans="1:16">
      <c r="A166" s="59">
        <v>113</v>
      </c>
      <c r="B166" t="s">
        <v>102</v>
      </c>
      <c r="C166" t="s">
        <v>142</v>
      </c>
      <c r="D166" s="60">
        <v>41303</v>
      </c>
      <c r="E166" s="60">
        <v>41306</v>
      </c>
      <c r="F166" s="60" t="str">
        <f t="shared" si="2"/>
        <v>Tuesday</v>
      </c>
      <c r="G166" s="61" t="s">
        <v>1502</v>
      </c>
      <c r="H166" s="12">
        <v>363</v>
      </c>
      <c r="I166" s="12">
        <v>506</v>
      </c>
      <c r="J166" t="s">
        <v>146</v>
      </c>
      <c r="K166" t="s">
        <v>742</v>
      </c>
      <c r="L166" s="3" t="s">
        <v>190</v>
      </c>
      <c r="M166" s="27" t="s">
        <v>1607</v>
      </c>
      <c r="N166" s="27" t="s">
        <v>190</v>
      </c>
      <c r="O166" t="s">
        <v>182</v>
      </c>
      <c r="P166" t="s">
        <v>182</v>
      </c>
    </row>
    <row r="167" spans="1:16">
      <c r="A167" s="59">
        <v>113</v>
      </c>
      <c r="B167" t="s">
        <v>30</v>
      </c>
      <c r="C167" t="s">
        <v>141</v>
      </c>
      <c r="D167" s="60">
        <v>41352</v>
      </c>
      <c r="E167" s="60">
        <v>41353</v>
      </c>
      <c r="F167" s="60" t="str">
        <f t="shared" si="2"/>
        <v>Tuesday</v>
      </c>
      <c r="G167" s="61" t="s">
        <v>1503</v>
      </c>
      <c r="H167" s="12">
        <v>61</v>
      </c>
      <c r="I167" s="12">
        <v>84</v>
      </c>
      <c r="J167" s="3" t="s">
        <v>145</v>
      </c>
      <c r="K167" t="s">
        <v>741</v>
      </c>
      <c r="L167" s="3" t="s">
        <v>190</v>
      </c>
      <c r="M167" s="27" t="s">
        <v>190</v>
      </c>
      <c r="N167" s="27" t="s">
        <v>190</v>
      </c>
      <c r="O167" t="s">
        <v>182</v>
      </c>
      <c r="P167" t="s">
        <v>182</v>
      </c>
    </row>
    <row r="168" spans="1:16">
      <c r="A168" s="59">
        <v>113</v>
      </c>
      <c r="B168" t="s">
        <v>30</v>
      </c>
      <c r="C168" t="s">
        <v>141</v>
      </c>
      <c r="D168" s="60">
        <v>41361</v>
      </c>
      <c r="E168" s="60">
        <v>41362</v>
      </c>
      <c r="F168" s="60" t="str">
        <f t="shared" si="2"/>
        <v>Thursday</v>
      </c>
      <c r="G168" s="61" t="s">
        <v>1380</v>
      </c>
      <c r="H168" s="12">
        <v>52</v>
      </c>
      <c r="I168" s="12">
        <v>245</v>
      </c>
      <c r="J168" s="3" t="s">
        <v>1344</v>
      </c>
      <c r="K168" t="s">
        <v>740</v>
      </c>
      <c r="L168" s="3" t="s">
        <v>182</v>
      </c>
      <c r="M168" s="27" t="s">
        <v>190</v>
      </c>
      <c r="N168" s="27" t="s">
        <v>190</v>
      </c>
      <c r="O168" t="s">
        <v>182</v>
      </c>
      <c r="P168" t="s">
        <v>182</v>
      </c>
    </row>
    <row r="169" spans="1:16">
      <c r="A169" s="59">
        <v>113</v>
      </c>
      <c r="B169" t="s">
        <v>114</v>
      </c>
      <c r="C169" t="s">
        <v>141</v>
      </c>
      <c r="D169" s="60">
        <v>41478</v>
      </c>
      <c r="E169" s="60">
        <v>41479</v>
      </c>
      <c r="F169" s="60" t="str">
        <f t="shared" si="2"/>
        <v>Tuesday</v>
      </c>
      <c r="G169" s="76" t="s">
        <v>1381</v>
      </c>
      <c r="H169" s="12">
        <v>55</v>
      </c>
      <c r="I169" s="12">
        <v>294</v>
      </c>
      <c r="J169" s="3" t="s">
        <v>1344</v>
      </c>
      <c r="K169" t="s">
        <v>740</v>
      </c>
      <c r="L169" s="3" t="s">
        <v>182</v>
      </c>
      <c r="M169" s="27" t="s">
        <v>190</v>
      </c>
      <c r="N169" s="27" t="s">
        <v>190</v>
      </c>
      <c r="O169" t="s">
        <v>182</v>
      </c>
      <c r="P169" t="s">
        <v>182</v>
      </c>
    </row>
    <row r="170" spans="1:16">
      <c r="A170" s="59">
        <v>113</v>
      </c>
      <c r="B170" t="s">
        <v>91</v>
      </c>
      <c r="C170" t="s">
        <v>141</v>
      </c>
      <c r="D170" s="60">
        <v>41481</v>
      </c>
      <c r="E170" s="60">
        <v>41482</v>
      </c>
      <c r="F170" s="60" t="str">
        <f t="shared" si="2"/>
        <v>Friday</v>
      </c>
      <c r="G170" s="61" t="s">
        <v>1504</v>
      </c>
      <c r="H170" s="12">
        <v>15</v>
      </c>
      <c r="I170" s="12">
        <v>34</v>
      </c>
      <c r="J170" t="s">
        <v>173</v>
      </c>
      <c r="K170" t="s">
        <v>741</v>
      </c>
      <c r="L170" s="3" t="s">
        <v>190</v>
      </c>
      <c r="M170" s="27" t="s">
        <v>190</v>
      </c>
      <c r="N170" s="27" t="s">
        <v>190</v>
      </c>
      <c r="O170" t="s">
        <v>182</v>
      </c>
      <c r="P170" t="s">
        <v>182</v>
      </c>
    </row>
    <row r="171" spans="1:16">
      <c r="A171" s="59">
        <v>113</v>
      </c>
      <c r="B171" t="s">
        <v>105</v>
      </c>
      <c r="C171" t="s">
        <v>141</v>
      </c>
      <c r="D171" s="60">
        <v>41492</v>
      </c>
      <c r="E171" s="60">
        <v>41495</v>
      </c>
      <c r="F171" s="60" t="str">
        <f t="shared" si="2"/>
        <v>Tuesday</v>
      </c>
      <c r="G171" s="61" t="s">
        <v>1505</v>
      </c>
      <c r="H171" s="12">
        <v>52</v>
      </c>
      <c r="I171" s="12">
        <v>97</v>
      </c>
      <c r="J171" s="3" t="s">
        <v>156</v>
      </c>
      <c r="K171" t="s">
        <v>741</v>
      </c>
      <c r="L171" s="3" t="s">
        <v>190</v>
      </c>
      <c r="M171" s="27" t="s">
        <v>1608</v>
      </c>
      <c r="N171" s="27" t="s">
        <v>190</v>
      </c>
      <c r="O171" t="s">
        <v>181</v>
      </c>
      <c r="P171" s="3" t="s">
        <v>190</v>
      </c>
    </row>
    <row r="172" spans="1:16">
      <c r="A172" s="59">
        <v>113</v>
      </c>
      <c r="B172" s="3" t="s">
        <v>48</v>
      </c>
      <c r="C172" t="s">
        <v>141</v>
      </c>
      <c r="D172" s="60">
        <v>41597</v>
      </c>
      <c r="E172" s="60">
        <v>41598</v>
      </c>
      <c r="F172" s="60" t="str">
        <f t="shared" si="2"/>
        <v>Tuesday</v>
      </c>
      <c r="G172" s="61" t="s">
        <v>1336</v>
      </c>
      <c r="H172" s="12">
        <v>8</v>
      </c>
      <c r="I172" s="12">
        <v>404</v>
      </c>
      <c r="J172" t="s">
        <v>163</v>
      </c>
      <c r="K172" t="s">
        <v>740</v>
      </c>
      <c r="L172" s="3" t="s">
        <v>190</v>
      </c>
      <c r="M172" s="27" t="s">
        <v>1609</v>
      </c>
      <c r="N172" s="27" t="s">
        <v>190</v>
      </c>
      <c r="O172" t="s">
        <v>181</v>
      </c>
      <c r="P172" s="3" t="s">
        <v>190</v>
      </c>
    </row>
    <row r="173" spans="1:16">
      <c r="A173" s="71">
        <v>113</v>
      </c>
      <c r="B173" s="3" t="s">
        <v>210</v>
      </c>
      <c r="C173" s="3" t="s">
        <v>141</v>
      </c>
      <c r="D173" s="60">
        <v>41676</v>
      </c>
      <c r="E173" s="60">
        <v>41677</v>
      </c>
      <c r="F173" s="60" t="str">
        <f t="shared" si="2"/>
        <v>Thursday</v>
      </c>
      <c r="G173" s="61" t="s">
        <v>1338</v>
      </c>
      <c r="H173" s="12">
        <v>40</v>
      </c>
      <c r="I173" s="12">
        <v>54</v>
      </c>
      <c r="J173" s="3" t="s">
        <v>168</v>
      </c>
      <c r="K173" t="s">
        <v>741</v>
      </c>
      <c r="L173" s="3" t="s">
        <v>190</v>
      </c>
      <c r="M173" s="27" t="s">
        <v>1592</v>
      </c>
      <c r="N173" s="27" t="s">
        <v>190</v>
      </c>
      <c r="O173" s="3" t="s">
        <v>182</v>
      </c>
      <c r="P173" s="3" t="s">
        <v>182</v>
      </c>
    </row>
    <row r="174" spans="1:16">
      <c r="A174" s="59">
        <v>113</v>
      </c>
      <c r="B174" s="3" t="s">
        <v>196</v>
      </c>
      <c r="C174" s="3" t="s">
        <v>141</v>
      </c>
      <c r="D174" s="60">
        <v>41680</v>
      </c>
      <c r="E174" s="60">
        <v>41913</v>
      </c>
      <c r="F174" s="60" t="str">
        <f t="shared" si="2"/>
        <v>Monday</v>
      </c>
      <c r="G174" s="61" t="s">
        <v>1506</v>
      </c>
      <c r="H174" s="12">
        <v>3</v>
      </c>
      <c r="I174" s="12">
        <v>13</v>
      </c>
      <c r="J174" t="s">
        <v>168</v>
      </c>
      <c r="K174" s="3" t="s">
        <v>742</v>
      </c>
      <c r="L174" s="3" t="s">
        <v>190</v>
      </c>
      <c r="M174" s="27" t="s">
        <v>1592</v>
      </c>
      <c r="N174" s="27" t="s">
        <v>190</v>
      </c>
      <c r="O174" s="3" t="s">
        <v>181</v>
      </c>
      <c r="P174" s="3" t="s">
        <v>190</v>
      </c>
    </row>
    <row r="175" spans="1:16">
      <c r="A175" s="59">
        <v>113</v>
      </c>
      <c r="B175" t="s">
        <v>4</v>
      </c>
      <c r="C175" t="s">
        <v>141</v>
      </c>
      <c r="D175" s="60">
        <v>41702</v>
      </c>
      <c r="E175" s="60">
        <v>42578</v>
      </c>
      <c r="F175" s="60" t="str">
        <f t="shared" si="2"/>
        <v>Tuesday</v>
      </c>
      <c r="G175" s="61" t="s">
        <v>1507</v>
      </c>
      <c r="H175" s="12">
        <v>19</v>
      </c>
      <c r="I175" s="12">
        <v>82</v>
      </c>
      <c r="J175" t="s">
        <v>147</v>
      </c>
      <c r="K175" t="s">
        <v>740</v>
      </c>
      <c r="L175" s="3" t="s">
        <v>190</v>
      </c>
      <c r="M175" s="27" t="s">
        <v>190</v>
      </c>
      <c r="N175" s="27" t="s">
        <v>190</v>
      </c>
      <c r="O175" t="s">
        <v>182</v>
      </c>
      <c r="P175" t="s">
        <v>182</v>
      </c>
    </row>
    <row r="176" spans="1:16">
      <c r="A176" s="59">
        <v>113</v>
      </c>
      <c r="B176" s="3" t="s">
        <v>193</v>
      </c>
      <c r="C176" s="3" t="s">
        <v>141</v>
      </c>
      <c r="D176" s="60">
        <v>41722</v>
      </c>
      <c r="E176" s="60">
        <v>41723</v>
      </c>
      <c r="F176" s="60" t="str">
        <f t="shared" si="2"/>
        <v>Monday</v>
      </c>
      <c r="G176" s="61" t="s">
        <v>1508</v>
      </c>
      <c r="H176" s="12">
        <v>0</v>
      </c>
      <c r="I176" s="12">
        <v>2</v>
      </c>
      <c r="J176" s="3" t="s">
        <v>194</v>
      </c>
      <c r="K176" t="s">
        <v>741</v>
      </c>
      <c r="L176" s="3" t="s">
        <v>190</v>
      </c>
      <c r="M176" s="27" t="s">
        <v>1592</v>
      </c>
      <c r="N176" s="27" t="s">
        <v>190</v>
      </c>
      <c r="O176" s="3" t="s">
        <v>182</v>
      </c>
      <c r="P176" s="3" t="s">
        <v>182</v>
      </c>
    </row>
    <row r="177" spans="1:16">
      <c r="A177" s="59">
        <v>113</v>
      </c>
      <c r="B177" t="s">
        <v>128</v>
      </c>
      <c r="C177" t="s">
        <v>141</v>
      </c>
      <c r="D177" s="60">
        <v>41736</v>
      </c>
      <c r="E177" s="60">
        <v>41737</v>
      </c>
      <c r="F177" s="60" t="str">
        <f t="shared" si="2"/>
        <v>Monday</v>
      </c>
      <c r="G177" s="61" t="s">
        <v>1509</v>
      </c>
      <c r="H177" s="12">
        <v>12</v>
      </c>
      <c r="I177" s="12">
        <v>206</v>
      </c>
      <c r="J177" t="s">
        <v>160</v>
      </c>
      <c r="K177" t="s">
        <v>740</v>
      </c>
      <c r="L177" s="3" t="s">
        <v>190</v>
      </c>
      <c r="M177" s="27" t="s">
        <v>1610</v>
      </c>
      <c r="N177" s="27" t="s">
        <v>190</v>
      </c>
      <c r="O177" t="s">
        <v>182</v>
      </c>
      <c r="P177" t="s">
        <v>181</v>
      </c>
    </row>
    <row r="178" spans="1:16">
      <c r="A178" s="59">
        <v>113</v>
      </c>
      <c r="B178" t="s">
        <v>85</v>
      </c>
      <c r="C178" t="s">
        <v>141</v>
      </c>
      <c r="D178" s="60">
        <v>41754</v>
      </c>
      <c r="E178" s="60">
        <v>41755</v>
      </c>
      <c r="F178" s="60" t="str">
        <f t="shared" si="2"/>
        <v>Friday</v>
      </c>
      <c r="G178" s="61" t="s">
        <v>1510</v>
      </c>
      <c r="H178" s="12">
        <v>13</v>
      </c>
      <c r="I178" s="12">
        <v>252</v>
      </c>
      <c r="J178" s="3" t="s">
        <v>184</v>
      </c>
      <c r="K178" t="s">
        <v>741</v>
      </c>
      <c r="L178" s="3" t="s">
        <v>190</v>
      </c>
      <c r="M178" s="27" t="s">
        <v>1611</v>
      </c>
      <c r="N178" s="27" t="s">
        <v>190</v>
      </c>
      <c r="O178" t="s">
        <v>182</v>
      </c>
      <c r="P178" t="s">
        <v>182</v>
      </c>
    </row>
    <row r="179" spans="1:16">
      <c r="A179" s="59">
        <v>113</v>
      </c>
      <c r="B179" t="s">
        <v>61</v>
      </c>
      <c r="C179" t="s">
        <v>142</v>
      </c>
      <c r="D179" s="60">
        <v>41843</v>
      </c>
      <c r="E179" s="60">
        <v>41844</v>
      </c>
      <c r="F179" s="60" t="str">
        <f t="shared" si="2"/>
        <v>Wednesday</v>
      </c>
      <c r="G179" s="65" t="s">
        <v>1511</v>
      </c>
      <c r="H179" s="12">
        <v>73</v>
      </c>
      <c r="I179" s="12">
        <v>224</v>
      </c>
      <c r="J179" t="s">
        <v>166</v>
      </c>
      <c r="K179" t="s">
        <v>740</v>
      </c>
      <c r="L179" s="3" t="s">
        <v>190</v>
      </c>
      <c r="M179" s="27" t="s">
        <v>1612</v>
      </c>
      <c r="N179" s="27" t="s">
        <v>190</v>
      </c>
      <c r="O179" t="s">
        <v>181</v>
      </c>
      <c r="P179" s="3" t="s">
        <v>190</v>
      </c>
    </row>
    <row r="180" spans="1:16">
      <c r="A180" s="59">
        <v>113</v>
      </c>
      <c r="B180" s="3" t="s">
        <v>12</v>
      </c>
      <c r="C180" t="s">
        <v>141</v>
      </c>
      <c r="D180" s="60">
        <v>41878</v>
      </c>
      <c r="E180" s="60">
        <v>41879</v>
      </c>
      <c r="F180" s="60" t="str">
        <f t="shared" si="2"/>
        <v>Wednesday</v>
      </c>
      <c r="G180" s="65" t="s">
        <v>1515</v>
      </c>
      <c r="H180" s="12">
        <v>6</v>
      </c>
      <c r="I180" s="12">
        <v>16</v>
      </c>
      <c r="J180" t="s">
        <v>152</v>
      </c>
      <c r="K180" s="3" t="s">
        <v>741</v>
      </c>
      <c r="L180" s="3" t="s">
        <v>190</v>
      </c>
      <c r="M180" s="27" t="s">
        <v>1613</v>
      </c>
      <c r="N180" s="27" t="s">
        <v>190</v>
      </c>
      <c r="O180" t="s">
        <v>181</v>
      </c>
      <c r="P180" s="3" t="s">
        <v>190</v>
      </c>
    </row>
    <row r="181" spans="1:16">
      <c r="A181" s="59">
        <v>113</v>
      </c>
      <c r="B181" t="s">
        <v>79</v>
      </c>
      <c r="C181" t="s">
        <v>142</v>
      </c>
      <c r="D181" s="60">
        <v>41923</v>
      </c>
      <c r="E181" s="60">
        <v>41923</v>
      </c>
      <c r="F181" s="60" t="str">
        <f t="shared" si="2"/>
        <v>Saturday</v>
      </c>
      <c r="G181" s="65" t="s">
        <v>1516</v>
      </c>
      <c r="H181" s="12">
        <v>113</v>
      </c>
      <c r="I181" s="12">
        <v>116</v>
      </c>
      <c r="J181" s="3" t="s">
        <v>151</v>
      </c>
      <c r="K181" t="s">
        <v>741</v>
      </c>
      <c r="L181" s="3" t="s">
        <v>190</v>
      </c>
      <c r="M181" s="27" t="s">
        <v>585</v>
      </c>
      <c r="N181" s="27" t="s">
        <v>190</v>
      </c>
      <c r="O181" s="21" t="s">
        <v>182</v>
      </c>
      <c r="P181" s="49" t="s">
        <v>182</v>
      </c>
    </row>
    <row r="182" spans="1:16">
      <c r="A182" s="59">
        <v>113</v>
      </c>
      <c r="B182" t="s">
        <v>94</v>
      </c>
      <c r="C182" t="s">
        <v>141</v>
      </c>
      <c r="D182" s="60">
        <v>41989</v>
      </c>
      <c r="E182" s="60">
        <v>41989</v>
      </c>
      <c r="F182" s="60" t="str">
        <f t="shared" si="2"/>
        <v>Tuesday</v>
      </c>
      <c r="G182" s="61" t="s">
        <v>1517</v>
      </c>
      <c r="H182" s="12">
        <v>15</v>
      </c>
      <c r="I182" s="12">
        <v>27</v>
      </c>
      <c r="J182" s="3" t="s">
        <v>159</v>
      </c>
      <c r="K182" t="s">
        <v>740</v>
      </c>
      <c r="L182" s="3" t="s">
        <v>190</v>
      </c>
      <c r="M182" s="27" t="s">
        <v>190</v>
      </c>
      <c r="N182" s="27" t="s">
        <v>190</v>
      </c>
      <c r="O182" t="s">
        <v>182</v>
      </c>
      <c r="P182" t="s">
        <v>182</v>
      </c>
    </row>
    <row r="183" spans="1:16">
      <c r="A183" s="59">
        <v>114</v>
      </c>
      <c r="B183" t="s">
        <v>2</v>
      </c>
      <c r="C183" t="s">
        <v>141</v>
      </c>
      <c r="D183" s="60">
        <v>42038</v>
      </c>
      <c r="E183" s="60">
        <v>42045</v>
      </c>
      <c r="F183" s="60" t="str">
        <f t="shared" si="2"/>
        <v>Tuesday</v>
      </c>
      <c r="G183" s="61" t="s">
        <v>1518</v>
      </c>
      <c r="H183" s="12">
        <v>8</v>
      </c>
      <c r="I183" s="12">
        <v>127</v>
      </c>
      <c r="J183" s="3" t="s">
        <v>145</v>
      </c>
      <c r="K183" t="s">
        <v>741</v>
      </c>
      <c r="L183" s="3" t="s">
        <v>190</v>
      </c>
      <c r="M183" s="27" t="s">
        <v>1341</v>
      </c>
      <c r="N183" s="27" t="s">
        <v>190</v>
      </c>
      <c r="O183" t="s">
        <v>181</v>
      </c>
      <c r="P183" s="3" t="s">
        <v>190</v>
      </c>
    </row>
    <row r="184" spans="1:16">
      <c r="A184" s="59">
        <v>114</v>
      </c>
      <c r="B184" t="s">
        <v>4</v>
      </c>
      <c r="C184" t="s">
        <v>141</v>
      </c>
      <c r="D184" s="60">
        <v>42137</v>
      </c>
      <c r="E184" s="60">
        <v>42141</v>
      </c>
      <c r="F184" s="60" t="str">
        <f t="shared" si="2"/>
        <v>Wednesday</v>
      </c>
      <c r="G184" s="61" t="s">
        <v>1519</v>
      </c>
      <c r="H184" s="12">
        <v>20</v>
      </c>
      <c r="I184" s="12">
        <v>58</v>
      </c>
      <c r="J184" s="3" t="s">
        <v>187</v>
      </c>
      <c r="K184" t="s">
        <v>741</v>
      </c>
      <c r="L184" s="3" t="s">
        <v>190</v>
      </c>
      <c r="M184" s="27" t="s">
        <v>1592</v>
      </c>
      <c r="N184" s="27" t="s">
        <v>190</v>
      </c>
      <c r="O184" t="s">
        <v>182</v>
      </c>
      <c r="P184" t="s">
        <v>181</v>
      </c>
    </row>
    <row r="185" spans="1:16">
      <c r="A185" s="59">
        <v>114</v>
      </c>
      <c r="B185" s="3" t="s">
        <v>197</v>
      </c>
      <c r="C185" s="3" t="s">
        <v>141</v>
      </c>
      <c r="D185" s="60">
        <v>42250</v>
      </c>
      <c r="E185" s="60">
        <v>42251</v>
      </c>
      <c r="F185" s="60" t="str">
        <f t="shared" si="2"/>
        <v>Thursday</v>
      </c>
      <c r="G185" s="61" t="s">
        <v>1520</v>
      </c>
      <c r="H185" s="12">
        <v>2</v>
      </c>
      <c r="I185" s="12">
        <v>5</v>
      </c>
      <c r="J185" t="s">
        <v>168</v>
      </c>
      <c r="K185" t="s">
        <v>741</v>
      </c>
      <c r="L185" s="3" t="s">
        <v>190</v>
      </c>
      <c r="M185" s="27" t="s">
        <v>1592</v>
      </c>
      <c r="N185" s="27" t="s">
        <v>190</v>
      </c>
      <c r="O185" s="3" t="s">
        <v>182</v>
      </c>
      <c r="P185" s="3" t="s">
        <v>181</v>
      </c>
    </row>
    <row r="186" spans="1:16">
      <c r="A186" s="59">
        <v>114</v>
      </c>
      <c r="B186" t="s">
        <v>24</v>
      </c>
      <c r="C186" t="s">
        <v>141</v>
      </c>
      <c r="D186" s="60">
        <v>42433</v>
      </c>
      <c r="E186" s="60">
        <v>42453</v>
      </c>
      <c r="F186" s="60" t="str">
        <f t="shared" si="2"/>
        <v>Friday</v>
      </c>
      <c r="G186" s="61" t="s">
        <v>1521</v>
      </c>
      <c r="H186" s="12">
        <v>16</v>
      </c>
      <c r="I186" s="12">
        <v>10</v>
      </c>
      <c r="J186" s="3" t="s">
        <v>186</v>
      </c>
      <c r="K186" t="s">
        <v>741</v>
      </c>
      <c r="L186" s="3" t="s">
        <v>190</v>
      </c>
      <c r="M186" s="27" t="s">
        <v>1614</v>
      </c>
      <c r="N186" s="27" t="s">
        <v>190</v>
      </c>
      <c r="O186" t="s">
        <v>182</v>
      </c>
      <c r="P186" t="s">
        <v>181</v>
      </c>
    </row>
    <row r="187" spans="1:16">
      <c r="A187" s="59">
        <v>114</v>
      </c>
      <c r="B187" t="s">
        <v>33</v>
      </c>
      <c r="C187" t="s">
        <v>141</v>
      </c>
      <c r="D187" s="60">
        <v>42466</v>
      </c>
      <c r="E187" s="60">
        <v>42743</v>
      </c>
      <c r="F187" s="60" t="str">
        <f t="shared" si="2"/>
        <v>Wednesday</v>
      </c>
      <c r="G187" s="61" t="s">
        <v>1522</v>
      </c>
      <c r="H187" s="12">
        <v>16</v>
      </c>
      <c r="I187" s="12">
        <v>23</v>
      </c>
      <c r="J187" s="3" t="s">
        <v>145</v>
      </c>
      <c r="K187" t="s">
        <v>741</v>
      </c>
      <c r="L187" s="3" t="s">
        <v>190</v>
      </c>
      <c r="M187" s="27" t="s">
        <v>1615</v>
      </c>
      <c r="N187" s="27" t="s">
        <v>190</v>
      </c>
      <c r="O187" t="s">
        <v>182</v>
      </c>
      <c r="P187" t="s">
        <v>182</v>
      </c>
    </row>
    <row r="188" spans="1:16">
      <c r="A188" s="59">
        <v>114</v>
      </c>
      <c r="B188" s="3" t="s">
        <v>206</v>
      </c>
      <c r="C188" s="3" t="s">
        <v>141</v>
      </c>
      <c r="D188" s="60">
        <v>42481</v>
      </c>
      <c r="E188" s="60">
        <v>42491</v>
      </c>
      <c r="F188" s="60" t="str">
        <f t="shared" si="2"/>
        <v>Thursday</v>
      </c>
      <c r="G188" s="61" t="s">
        <v>1523</v>
      </c>
      <c r="H188" s="12">
        <v>19</v>
      </c>
      <c r="I188" s="12">
        <v>27</v>
      </c>
      <c r="J188" s="3" t="s">
        <v>145</v>
      </c>
      <c r="K188" t="s">
        <v>741</v>
      </c>
      <c r="L188" s="3" t="s">
        <v>190</v>
      </c>
      <c r="M188" s="27" t="s">
        <v>1616</v>
      </c>
      <c r="N188" s="27" t="s">
        <v>190</v>
      </c>
      <c r="O188" s="3" t="s">
        <v>182</v>
      </c>
      <c r="P188" s="3" t="s">
        <v>181</v>
      </c>
    </row>
    <row r="189" spans="1:16">
      <c r="A189" s="59">
        <v>114</v>
      </c>
      <c r="B189" t="s">
        <v>29</v>
      </c>
      <c r="C189" t="s">
        <v>141</v>
      </c>
      <c r="D189" s="60">
        <v>42551</v>
      </c>
      <c r="E189" s="60">
        <v>42575</v>
      </c>
      <c r="F189" s="60" t="str">
        <f t="shared" si="2"/>
        <v>Thursday</v>
      </c>
      <c r="G189" s="61" t="s">
        <v>1369</v>
      </c>
      <c r="H189" s="12">
        <v>36</v>
      </c>
      <c r="I189" s="12">
        <v>36</v>
      </c>
      <c r="J189" s="3" t="s">
        <v>156</v>
      </c>
      <c r="K189" t="s">
        <v>741</v>
      </c>
      <c r="L189" s="3" t="s">
        <v>190</v>
      </c>
      <c r="M189" s="27" t="s">
        <v>1617</v>
      </c>
      <c r="N189" s="27" t="s">
        <v>190</v>
      </c>
      <c r="O189" t="s">
        <v>182</v>
      </c>
      <c r="P189" t="s">
        <v>182</v>
      </c>
    </row>
    <row r="190" spans="1:16">
      <c r="A190" s="59">
        <v>114</v>
      </c>
      <c r="B190" s="3" t="s">
        <v>120</v>
      </c>
      <c r="C190" t="s">
        <v>141</v>
      </c>
      <c r="D190" s="60">
        <v>42727</v>
      </c>
      <c r="E190" s="60">
        <v>42748</v>
      </c>
      <c r="F190" s="60" t="str">
        <f t="shared" si="2"/>
        <v>Friday</v>
      </c>
      <c r="G190" s="61" t="s">
        <v>1524</v>
      </c>
      <c r="H190" s="12">
        <v>133</v>
      </c>
      <c r="I190" s="12">
        <v>74</v>
      </c>
      <c r="J190" t="s">
        <v>155</v>
      </c>
      <c r="K190" t="s">
        <v>741</v>
      </c>
      <c r="L190" s="3" t="s">
        <v>190</v>
      </c>
      <c r="M190" s="27" t="s">
        <v>589</v>
      </c>
      <c r="N190" s="27" t="s">
        <v>190</v>
      </c>
      <c r="O190" s="3" t="s">
        <v>181</v>
      </c>
      <c r="P190" s="3" t="s">
        <v>190</v>
      </c>
    </row>
    <row r="191" spans="1:16">
      <c r="A191" s="59">
        <v>115</v>
      </c>
      <c r="B191" t="s">
        <v>114</v>
      </c>
      <c r="C191" t="s">
        <v>141</v>
      </c>
      <c r="D191" s="60">
        <v>42806</v>
      </c>
      <c r="E191" s="60">
        <v>42806</v>
      </c>
      <c r="F191" s="60" t="str">
        <f t="shared" si="2"/>
        <v>Sunday</v>
      </c>
      <c r="G191" s="68" t="s">
        <v>1382</v>
      </c>
      <c r="H191" s="12">
        <v>66</v>
      </c>
      <c r="I191" s="12">
        <v>382</v>
      </c>
      <c r="J191" s="3" t="s">
        <v>1344</v>
      </c>
      <c r="K191" t="s">
        <v>740</v>
      </c>
      <c r="L191" s="3" t="s">
        <v>182</v>
      </c>
      <c r="M191" s="27" t="s">
        <v>190</v>
      </c>
      <c r="N191" s="27" t="s">
        <v>190</v>
      </c>
      <c r="O191" t="s">
        <v>182</v>
      </c>
      <c r="P191" t="s">
        <v>182</v>
      </c>
    </row>
    <row r="192" spans="1:16">
      <c r="A192" s="59">
        <v>115</v>
      </c>
      <c r="B192" s="3" t="s">
        <v>205</v>
      </c>
      <c r="C192" s="3" t="s">
        <v>141</v>
      </c>
      <c r="D192" s="60">
        <v>42941</v>
      </c>
      <c r="E192" s="60">
        <v>42943</v>
      </c>
      <c r="F192" s="60" t="str">
        <f t="shared" si="2"/>
        <v>Tuesday</v>
      </c>
      <c r="G192" s="61" t="s">
        <v>1525</v>
      </c>
      <c r="H192" s="12">
        <v>11</v>
      </c>
      <c r="I192" s="12">
        <v>14</v>
      </c>
      <c r="J192" s="3" t="s">
        <v>156</v>
      </c>
      <c r="K192" t="s">
        <v>741</v>
      </c>
      <c r="L192" s="3" t="s">
        <v>190</v>
      </c>
      <c r="M192" s="27" t="s">
        <v>1618</v>
      </c>
      <c r="N192" s="27" t="s">
        <v>190</v>
      </c>
      <c r="O192" s="3" t="s">
        <v>181</v>
      </c>
      <c r="P192" s="3" t="s">
        <v>190</v>
      </c>
    </row>
    <row r="193" spans="1:16">
      <c r="A193" s="59">
        <v>115</v>
      </c>
      <c r="B193" t="s">
        <v>124</v>
      </c>
      <c r="C193" t="s">
        <v>141</v>
      </c>
      <c r="D193" s="60">
        <v>42984</v>
      </c>
      <c r="E193" s="60">
        <v>43011</v>
      </c>
      <c r="F193" s="60" t="str">
        <f t="shared" si="2"/>
        <v>Wednesday</v>
      </c>
      <c r="G193" s="61" t="s">
        <v>1526</v>
      </c>
      <c r="H193" s="12">
        <v>20</v>
      </c>
      <c r="I193" s="12">
        <v>38</v>
      </c>
      <c r="J193" t="s">
        <v>160</v>
      </c>
      <c r="K193" t="s">
        <v>740</v>
      </c>
      <c r="L193" s="3" t="s">
        <v>190</v>
      </c>
      <c r="M193" s="27" t="s">
        <v>1619</v>
      </c>
      <c r="N193" s="27" t="s">
        <v>190</v>
      </c>
      <c r="O193" t="s">
        <v>181</v>
      </c>
      <c r="P193" s="3" t="s">
        <v>190</v>
      </c>
    </row>
    <row r="194" spans="1:16">
      <c r="A194" s="59">
        <v>115</v>
      </c>
      <c r="B194" t="s">
        <v>5</v>
      </c>
      <c r="C194" t="s">
        <v>142</v>
      </c>
      <c r="D194" s="60">
        <v>43055</v>
      </c>
      <c r="E194" s="60">
        <v>43055</v>
      </c>
      <c r="F194" s="60" t="str">
        <f t="shared" ref="F194:F219" si="3">TEXT(D194,"dddd")</f>
        <v>Thursday</v>
      </c>
      <c r="G194" s="61" t="s">
        <v>1370</v>
      </c>
      <c r="H194" s="12">
        <v>234</v>
      </c>
      <c r="I194" s="12">
        <v>1816</v>
      </c>
      <c r="J194" t="s">
        <v>148</v>
      </c>
      <c r="K194" t="s">
        <v>740</v>
      </c>
      <c r="L194" s="3" t="s">
        <v>190</v>
      </c>
      <c r="M194" s="27" t="s">
        <v>1620</v>
      </c>
      <c r="N194" s="27" t="s">
        <v>190</v>
      </c>
      <c r="O194" t="s">
        <v>181</v>
      </c>
      <c r="P194" s="3" t="s">
        <v>190</v>
      </c>
    </row>
    <row r="195" spans="1:16">
      <c r="A195" s="59">
        <v>115</v>
      </c>
      <c r="B195" t="s">
        <v>66</v>
      </c>
      <c r="C195" t="s">
        <v>141</v>
      </c>
      <c r="D195" s="16">
        <v>43060</v>
      </c>
      <c r="E195" s="16">
        <v>43060</v>
      </c>
      <c r="F195" s="60" t="str">
        <f t="shared" si="3"/>
        <v>Tuesday</v>
      </c>
      <c r="G195" s="61" t="s">
        <v>1527</v>
      </c>
      <c r="H195" s="12">
        <v>25</v>
      </c>
      <c r="I195" s="12">
        <v>431</v>
      </c>
      <c r="J195" t="s">
        <v>148</v>
      </c>
      <c r="K195" t="s">
        <v>740</v>
      </c>
      <c r="L195" s="3" t="s">
        <v>190</v>
      </c>
      <c r="M195" s="27" t="s">
        <v>1621</v>
      </c>
      <c r="N195" s="27" t="s">
        <v>190</v>
      </c>
      <c r="O195" t="s">
        <v>181</v>
      </c>
      <c r="P195" s="3" t="s">
        <v>190</v>
      </c>
    </row>
    <row r="196" spans="1:16">
      <c r="A196" s="72">
        <v>115</v>
      </c>
      <c r="B196" t="s">
        <v>57</v>
      </c>
      <c r="C196" t="s">
        <v>141</v>
      </c>
      <c r="D196" s="16">
        <v>43061</v>
      </c>
      <c r="E196" s="16">
        <v>43061</v>
      </c>
      <c r="F196" s="60" t="str">
        <f t="shared" si="3"/>
        <v>Wednesday</v>
      </c>
      <c r="G196" s="61" t="s">
        <v>1528</v>
      </c>
      <c r="H196" s="12">
        <v>4</v>
      </c>
      <c r="I196" s="12">
        <v>125</v>
      </c>
      <c r="J196" t="s">
        <v>160</v>
      </c>
      <c r="K196" t="s">
        <v>740</v>
      </c>
      <c r="L196" s="3" t="s">
        <v>190</v>
      </c>
      <c r="M196" s="27" t="s">
        <v>1622</v>
      </c>
      <c r="N196" s="27" t="s">
        <v>190</v>
      </c>
      <c r="O196" t="s">
        <v>181</v>
      </c>
      <c r="P196" s="3" t="s">
        <v>190</v>
      </c>
    </row>
    <row r="197" spans="1:16">
      <c r="A197" s="72">
        <v>115</v>
      </c>
      <c r="B197" s="3" t="s">
        <v>204</v>
      </c>
      <c r="C197" s="3" t="s">
        <v>141</v>
      </c>
      <c r="D197" s="16">
        <v>43067</v>
      </c>
      <c r="E197" s="16">
        <v>43434</v>
      </c>
      <c r="F197" s="60" t="str">
        <f t="shared" si="3"/>
        <v>Tuesday</v>
      </c>
      <c r="G197" s="61" t="s">
        <v>1529</v>
      </c>
      <c r="H197" s="12">
        <v>11</v>
      </c>
      <c r="I197" s="12">
        <v>59</v>
      </c>
      <c r="J197" s="3" t="s">
        <v>159</v>
      </c>
      <c r="K197" t="s">
        <v>740</v>
      </c>
      <c r="L197" s="3" t="s">
        <v>190</v>
      </c>
      <c r="M197" s="27" t="s">
        <v>1592</v>
      </c>
      <c r="N197" s="27" t="s">
        <v>190</v>
      </c>
      <c r="O197" s="21" t="s">
        <v>182</v>
      </c>
      <c r="P197" s="49" t="s">
        <v>182</v>
      </c>
    </row>
    <row r="198" spans="1:16">
      <c r="A198" s="72">
        <v>115</v>
      </c>
      <c r="B198" t="s">
        <v>94</v>
      </c>
      <c r="C198" t="s">
        <v>141</v>
      </c>
      <c r="D198" s="16">
        <v>43070</v>
      </c>
      <c r="E198" s="16">
        <v>43071</v>
      </c>
      <c r="F198" s="60" t="str">
        <f t="shared" si="3"/>
        <v>Friday</v>
      </c>
      <c r="G198" s="61" t="s">
        <v>1530</v>
      </c>
      <c r="H198" s="12">
        <v>12</v>
      </c>
      <c r="I198" s="12">
        <v>107</v>
      </c>
      <c r="J198" t="s">
        <v>148</v>
      </c>
      <c r="K198" s="3" t="s">
        <v>741</v>
      </c>
      <c r="L198" s="3" t="s">
        <v>190</v>
      </c>
      <c r="M198" s="27" t="s">
        <v>1623</v>
      </c>
      <c r="N198" s="27" t="s">
        <v>190</v>
      </c>
      <c r="O198" t="s">
        <v>181</v>
      </c>
      <c r="P198" s="3" t="s">
        <v>190</v>
      </c>
    </row>
    <row r="199" spans="1:16">
      <c r="A199" s="72">
        <v>115</v>
      </c>
      <c r="B199" t="s">
        <v>107</v>
      </c>
      <c r="C199" t="s">
        <v>141</v>
      </c>
      <c r="D199" s="16">
        <v>43070</v>
      </c>
      <c r="E199" s="16">
        <v>43070</v>
      </c>
      <c r="F199" s="60" t="str">
        <f t="shared" si="3"/>
        <v>Friday</v>
      </c>
      <c r="G199" s="61" t="s">
        <v>1531</v>
      </c>
      <c r="H199" s="12">
        <v>11</v>
      </c>
      <c r="I199" s="12">
        <v>50</v>
      </c>
      <c r="J199" t="s">
        <v>148</v>
      </c>
      <c r="K199" t="s">
        <v>740</v>
      </c>
      <c r="L199" s="3" t="s">
        <v>190</v>
      </c>
      <c r="M199" s="27" t="s">
        <v>1624</v>
      </c>
      <c r="N199" s="27" t="s">
        <v>190</v>
      </c>
      <c r="O199" t="s">
        <v>181</v>
      </c>
      <c r="P199" s="3" t="s">
        <v>190</v>
      </c>
    </row>
    <row r="200" spans="1:16">
      <c r="A200" s="73">
        <v>115</v>
      </c>
      <c r="B200" t="s">
        <v>127</v>
      </c>
      <c r="C200" t="s">
        <v>141</v>
      </c>
      <c r="D200" s="16">
        <v>43076</v>
      </c>
      <c r="E200" s="16">
        <v>43076</v>
      </c>
      <c r="F200" s="60" t="str">
        <f t="shared" si="3"/>
        <v>Thursday</v>
      </c>
      <c r="G200" s="68" t="s">
        <v>1532</v>
      </c>
      <c r="H200" s="12">
        <v>25</v>
      </c>
      <c r="I200" s="12">
        <v>583</v>
      </c>
      <c r="J200" t="s">
        <v>148</v>
      </c>
      <c r="K200" t="s">
        <v>740</v>
      </c>
      <c r="L200" s="3" t="s">
        <v>190</v>
      </c>
      <c r="M200" s="27" t="s">
        <v>1625</v>
      </c>
      <c r="N200" s="27" t="s">
        <v>182</v>
      </c>
      <c r="O200" t="s">
        <v>181</v>
      </c>
      <c r="P200" s="3" t="s">
        <v>190</v>
      </c>
    </row>
    <row r="201" spans="1:16">
      <c r="A201" s="73">
        <v>115</v>
      </c>
      <c r="B201" t="s">
        <v>121</v>
      </c>
      <c r="C201" t="s">
        <v>142</v>
      </c>
      <c r="D201" s="16">
        <v>43083</v>
      </c>
      <c r="E201" s="16">
        <v>43312</v>
      </c>
      <c r="F201" s="60" t="str">
        <f t="shared" si="3"/>
        <v>Thursday</v>
      </c>
      <c r="G201" s="61" t="s">
        <v>1533</v>
      </c>
      <c r="H201" s="12">
        <v>51</v>
      </c>
      <c r="I201" s="12">
        <v>38</v>
      </c>
      <c r="J201" t="s">
        <v>147</v>
      </c>
      <c r="K201" t="s">
        <v>740</v>
      </c>
      <c r="L201" s="3" t="s">
        <v>190</v>
      </c>
      <c r="M201" s="15" t="s">
        <v>190</v>
      </c>
      <c r="N201" s="27" t="s">
        <v>190</v>
      </c>
      <c r="O201" t="s">
        <v>182</v>
      </c>
      <c r="P201" t="s">
        <v>182</v>
      </c>
    </row>
    <row r="202" spans="1:16">
      <c r="A202" s="73">
        <v>115</v>
      </c>
      <c r="B202" t="s">
        <v>88</v>
      </c>
      <c r="C202" t="s">
        <v>141</v>
      </c>
      <c r="D202" s="16">
        <v>43120</v>
      </c>
      <c r="E202" s="16">
        <v>43121</v>
      </c>
      <c r="F202" s="60" t="str">
        <f t="shared" si="3"/>
        <v>Saturday</v>
      </c>
      <c r="G202" s="65" t="s">
        <v>1534</v>
      </c>
      <c r="H202" s="12">
        <v>13</v>
      </c>
      <c r="I202" s="12">
        <v>79</v>
      </c>
      <c r="J202" t="s">
        <v>148</v>
      </c>
      <c r="K202" t="s">
        <v>740</v>
      </c>
      <c r="L202" s="3" t="s">
        <v>190</v>
      </c>
      <c r="M202" s="27" t="s">
        <v>1626</v>
      </c>
      <c r="N202" s="27" t="s">
        <v>190</v>
      </c>
      <c r="O202" t="s">
        <v>181</v>
      </c>
      <c r="P202" s="3" t="s">
        <v>190</v>
      </c>
    </row>
    <row r="203" spans="1:16">
      <c r="A203" s="73">
        <v>115</v>
      </c>
      <c r="B203" s="3" t="s">
        <v>203</v>
      </c>
      <c r="C203" s="3" t="s">
        <v>141</v>
      </c>
      <c r="D203" s="16">
        <v>43130</v>
      </c>
      <c r="E203" s="16">
        <v>43130</v>
      </c>
      <c r="F203" s="60" t="str">
        <f t="shared" si="3"/>
        <v>Tuesday</v>
      </c>
      <c r="G203" s="61" t="s">
        <v>1383</v>
      </c>
      <c r="H203" s="12">
        <v>20</v>
      </c>
      <c r="I203" s="12">
        <v>32</v>
      </c>
      <c r="J203" s="3" t="s">
        <v>1344</v>
      </c>
      <c r="K203" t="s">
        <v>740</v>
      </c>
      <c r="L203" s="3" t="s">
        <v>182</v>
      </c>
      <c r="M203" s="27" t="s">
        <v>190</v>
      </c>
      <c r="N203" s="27" t="s">
        <v>190</v>
      </c>
      <c r="O203" s="21" t="s">
        <v>182</v>
      </c>
      <c r="P203" s="49" t="s">
        <v>182</v>
      </c>
    </row>
    <row r="204" spans="1:16">
      <c r="A204" s="73">
        <v>115</v>
      </c>
      <c r="B204" t="s">
        <v>37</v>
      </c>
      <c r="C204" t="s">
        <v>141</v>
      </c>
      <c r="D204" s="16">
        <v>43188</v>
      </c>
      <c r="E204" s="16">
        <v>43189</v>
      </c>
      <c r="F204" s="60" t="str">
        <f t="shared" si="3"/>
        <v>Thursday</v>
      </c>
      <c r="G204" s="61" t="s">
        <v>1371</v>
      </c>
      <c r="H204" s="12">
        <v>18</v>
      </c>
      <c r="I204" s="12">
        <v>82</v>
      </c>
      <c r="J204" s="3" t="s">
        <v>162</v>
      </c>
      <c r="K204" t="s">
        <v>740</v>
      </c>
      <c r="L204" s="3" t="s">
        <v>190</v>
      </c>
      <c r="M204" s="27" t="s">
        <v>1627</v>
      </c>
      <c r="N204" s="27" t="s">
        <v>190</v>
      </c>
      <c r="O204" t="s">
        <v>181</v>
      </c>
      <c r="P204" s="3" t="s">
        <v>190</v>
      </c>
    </row>
    <row r="205" spans="1:16">
      <c r="A205" s="73">
        <v>115</v>
      </c>
      <c r="B205" s="3" t="s">
        <v>202</v>
      </c>
      <c r="C205" s="3" t="s">
        <v>141</v>
      </c>
      <c r="D205" s="16">
        <v>43251</v>
      </c>
      <c r="E205" s="16">
        <v>43589</v>
      </c>
      <c r="F205" s="60" t="str">
        <f t="shared" si="3"/>
        <v>Thursday</v>
      </c>
      <c r="G205" s="62" t="s">
        <v>1535</v>
      </c>
      <c r="H205" s="12">
        <v>0</v>
      </c>
      <c r="I205" s="12">
        <v>3</v>
      </c>
      <c r="J205" s="3" t="s">
        <v>145</v>
      </c>
      <c r="K205" t="s">
        <v>741</v>
      </c>
      <c r="L205" s="3" t="s">
        <v>190</v>
      </c>
      <c r="M205" s="27" t="s">
        <v>1592</v>
      </c>
      <c r="N205" s="27" t="s">
        <v>190</v>
      </c>
      <c r="O205" s="21" t="s">
        <v>182</v>
      </c>
      <c r="P205" s="49" t="s">
        <v>182</v>
      </c>
    </row>
    <row r="206" spans="1:16">
      <c r="A206" s="73">
        <v>115</v>
      </c>
      <c r="B206" s="3" t="s">
        <v>18</v>
      </c>
      <c r="C206" t="s">
        <v>141</v>
      </c>
      <c r="D206" s="16">
        <v>43320</v>
      </c>
      <c r="E206" s="16">
        <v>43320</v>
      </c>
      <c r="F206" s="60" t="str">
        <f t="shared" si="3"/>
        <v>Wednesday</v>
      </c>
      <c r="G206" s="61" t="s">
        <v>1536</v>
      </c>
      <c r="H206" s="12">
        <v>11</v>
      </c>
      <c r="I206" s="12">
        <v>611</v>
      </c>
      <c r="J206" t="s">
        <v>155</v>
      </c>
      <c r="K206" t="s">
        <v>741</v>
      </c>
      <c r="L206" s="3" t="s">
        <v>190</v>
      </c>
      <c r="M206" s="27" t="s">
        <v>1628</v>
      </c>
      <c r="N206" s="27" t="s">
        <v>190</v>
      </c>
      <c r="O206" t="s">
        <v>182</v>
      </c>
      <c r="P206" t="s">
        <v>182</v>
      </c>
    </row>
    <row r="207" spans="1:16">
      <c r="A207" s="73">
        <v>115</v>
      </c>
      <c r="B207" t="s">
        <v>69</v>
      </c>
      <c r="C207" t="s">
        <v>141</v>
      </c>
      <c r="D207" s="16">
        <v>43324</v>
      </c>
      <c r="E207" s="16">
        <v>43342</v>
      </c>
      <c r="F207" s="60" t="str">
        <f t="shared" si="3"/>
        <v>Sunday</v>
      </c>
      <c r="G207" s="61" t="s">
        <v>1537</v>
      </c>
      <c r="H207" s="12">
        <v>50</v>
      </c>
      <c r="I207" s="12">
        <v>315</v>
      </c>
      <c r="J207" t="s">
        <v>147</v>
      </c>
      <c r="K207" t="s">
        <v>740</v>
      </c>
      <c r="L207" s="3" t="s">
        <v>190</v>
      </c>
      <c r="M207" s="27" t="s">
        <v>190</v>
      </c>
      <c r="N207" s="27" t="s">
        <v>190</v>
      </c>
      <c r="O207" t="s">
        <v>181</v>
      </c>
      <c r="P207" s="3" t="s">
        <v>190</v>
      </c>
    </row>
    <row r="208" spans="1:16">
      <c r="A208" s="73">
        <v>115</v>
      </c>
      <c r="B208" t="s">
        <v>101</v>
      </c>
      <c r="C208" t="s">
        <v>141</v>
      </c>
      <c r="D208" s="16">
        <v>43340</v>
      </c>
      <c r="E208" s="16">
        <v>43373</v>
      </c>
      <c r="F208" s="60" t="str">
        <f t="shared" si="3"/>
        <v>Tuesday</v>
      </c>
      <c r="G208" s="61" t="s">
        <v>1372</v>
      </c>
      <c r="H208" s="12">
        <v>82</v>
      </c>
      <c r="I208" s="12">
        <v>165</v>
      </c>
      <c r="J208" s="3" t="s">
        <v>171</v>
      </c>
      <c r="K208" t="s">
        <v>740</v>
      </c>
      <c r="L208" s="3" t="s">
        <v>190</v>
      </c>
      <c r="M208" s="27" t="s">
        <v>1629</v>
      </c>
      <c r="N208" s="27" t="s">
        <v>190</v>
      </c>
      <c r="O208" t="s">
        <v>182</v>
      </c>
      <c r="P208" t="s">
        <v>181</v>
      </c>
    </row>
    <row r="209" spans="1:16">
      <c r="A209" s="73">
        <v>115</v>
      </c>
      <c r="B209" t="s">
        <v>33</v>
      </c>
      <c r="C209" t="s">
        <v>141</v>
      </c>
      <c r="D209" s="16">
        <v>43347</v>
      </c>
      <c r="E209" s="16">
        <v>43399</v>
      </c>
      <c r="F209" s="60" t="str">
        <f t="shared" si="3"/>
        <v>Tuesday</v>
      </c>
      <c r="G209" s="61" t="s">
        <v>1538</v>
      </c>
      <c r="H209" s="12">
        <v>71</v>
      </c>
      <c r="I209" s="12">
        <v>178</v>
      </c>
      <c r="J209" t="s">
        <v>160</v>
      </c>
      <c r="K209" t="s">
        <v>740</v>
      </c>
      <c r="L209" s="3" t="s">
        <v>190</v>
      </c>
      <c r="M209" s="27" t="s">
        <v>1630</v>
      </c>
      <c r="N209" s="27" t="s">
        <v>190</v>
      </c>
      <c r="O209" s="3" t="s">
        <v>181</v>
      </c>
      <c r="P209" s="3" t="s">
        <v>190</v>
      </c>
    </row>
    <row r="210" spans="1:16">
      <c r="A210" s="73">
        <v>115</v>
      </c>
      <c r="B210" t="s">
        <v>21</v>
      </c>
      <c r="C210" t="s">
        <v>142</v>
      </c>
      <c r="D210" s="16">
        <v>43415</v>
      </c>
      <c r="E210" s="16">
        <v>43416</v>
      </c>
      <c r="F210" s="60" t="str">
        <f t="shared" si="3"/>
        <v>Sunday</v>
      </c>
      <c r="G210" s="61" t="s">
        <v>1384</v>
      </c>
      <c r="H210" s="12">
        <v>105</v>
      </c>
      <c r="I210" s="12">
        <v>140</v>
      </c>
      <c r="J210" s="3" t="s">
        <v>1344</v>
      </c>
      <c r="K210" t="s">
        <v>740</v>
      </c>
      <c r="L210" s="3" t="s">
        <v>182</v>
      </c>
      <c r="M210" s="27" t="s">
        <v>190</v>
      </c>
      <c r="N210" s="27" t="s">
        <v>190</v>
      </c>
      <c r="O210" t="s">
        <v>182</v>
      </c>
      <c r="P210" t="s">
        <v>182</v>
      </c>
    </row>
    <row r="211" spans="1:16">
      <c r="A211" s="73">
        <v>115</v>
      </c>
      <c r="B211" t="s">
        <v>78</v>
      </c>
      <c r="C211" t="s">
        <v>141</v>
      </c>
      <c r="D211" s="16">
        <v>43420</v>
      </c>
      <c r="E211" s="16">
        <v>43420</v>
      </c>
      <c r="F211" s="60" t="str">
        <f t="shared" si="3"/>
        <v>Friday</v>
      </c>
      <c r="G211" s="61" t="s">
        <v>1539</v>
      </c>
      <c r="H211" s="12">
        <v>39</v>
      </c>
      <c r="I211" s="12">
        <v>29</v>
      </c>
      <c r="J211" t="s">
        <v>162</v>
      </c>
      <c r="K211" t="s">
        <v>740</v>
      </c>
      <c r="L211" s="3" t="s">
        <v>190</v>
      </c>
      <c r="M211" s="27" t="s">
        <v>1592</v>
      </c>
      <c r="N211" s="27" t="s">
        <v>190</v>
      </c>
      <c r="O211" t="s">
        <v>182</v>
      </c>
      <c r="P211" t="s">
        <v>182</v>
      </c>
    </row>
    <row r="212" spans="1:16">
      <c r="A212" s="73">
        <v>116</v>
      </c>
      <c r="B212" t="s">
        <v>114</v>
      </c>
      <c r="C212" t="s">
        <v>141</v>
      </c>
      <c r="D212" s="16">
        <v>43475</v>
      </c>
      <c r="E212" s="16">
        <v>43476</v>
      </c>
      <c r="F212" s="60" t="str">
        <f t="shared" si="3"/>
        <v>Thursday</v>
      </c>
      <c r="G212" s="68" t="s">
        <v>1385</v>
      </c>
      <c r="H212" s="12">
        <v>3</v>
      </c>
      <c r="I212" s="12">
        <v>267</v>
      </c>
      <c r="J212" s="3" t="s">
        <v>1344</v>
      </c>
      <c r="K212" t="s">
        <v>740</v>
      </c>
      <c r="L212" s="3" t="s">
        <v>182</v>
      </c>
      <c r="M212" s="27" t="s">
        <v>1551</v>
      </c>
      <c r="N212" s="27" t="s">
        <v>190</v>
      </c>
      <c r="O212" s="21" t="s">
        <v>182</v>
      </c>
      <c r="P212" s="49" t="s">
        <v>181</v>
      </c>
    </row>
    <row r="213" spans="1:16">
      <c r="A213" s="73">
        <v>116</v>
      </c>
      <c r="B213" t="s">
        <v>111</v>
      </c>
      <c r="C213" t="s">
        <v>141</v>
      </c>
      <c r="D213" s="16">
        <v>43482</v>
      </c>
      <c r="E213" s="16">
        <v>43488</v>
      </c>
      <c r="F213" s="60" t="str">
        <f t="shared" si="3"/>
        <v>Thursday</v>
      </c>
      <c r="G213" s="61" t="s">
        <v>1540</v>
      </c>
      <c r="H213" s="12">
        <v>62</v>
      </c>
      <c r="I213" s="12">
        <v>87</v>
      </c>
      <c r="J213" s="3" t="s">
        <v>159</v>
      </c>
      <c r="K213" t="s">
        <v>740</v>
      </c>
      <c r="L213" s="3" t="s">
        <v>190</v>
      </c>
      <c r="M213" s="27" t="s">
        <v>1631</v>
      </c>
      <c r="N213" s="27" t="s">
        <v>190</v>
      </c>
      <c r="O213" s="21" t="s">
        <v>182</v>
      </c>
      <c r="P213" s="49" t="s">
        <v>182</v>
      </c>
    </row>
    <row r="214" spans="1:16">
      <c r="A214" s="73">
        <v>116</v>
      </c>
      <c r="B214" s="3" t="s">
        <v>198</v>
      </c>
      <c r="C214" s="3" t="s">
        <v>141</v>
      </c>
      <c r="D214" s="16">
        <v>43522</v>
      </c>
      <c r="E214" s="16">
        <v>43522</v>
      </c>
      <c r="F214" s="60" t="str">
        <f t="shared" si="3"/>
        <v>Tuesday</v>
      </c>
      <c r="G214" s="61" t="s">
        <v>1541</v>
      </c>
      <c r="H214" s="12">
        <v>7</v>
      </c>
      <c r="I214" s="12">
        <v>127</v>
      </c>
      <c r="J214" s="3" t="s">
        <v>191</v>
      </c>
      <c r="K214" t="s">
        <v>740</v>
      </c>
      <c r="L214" s="3" t="s">
        <v>190</v>
      </c>
      <c r="M214" s="27" t="s">
        <v>1632</v>
      </c>
      <c r="N214" s="27" t="s">
        <v>190</v>
      </c>
      <c r="O214" s="21" t="s">
        <v>182</v>
      </c>
      <c r="P214" s="49" t="s">
        <v>182</v>
      </c>
    </row>
    <row r="215" spans="1:16">
      <c r="A215" s="73">
        <v>116</v>
      </c>
      <c r="B215" s="3" t="s">
        <v>200</v>
      </c>
      <c r="C215" s="3" t="s">
        <v>141</v>
      </c>
      <c r="D215" s="16">
        <v>43738</v>
      </c>
      <c r="E215" s="16">
        <v>43783</v>
      </c>
      <c r="F215" s="60" t="str">
        <f t="shared" si="3"/>
        <v>Monday</v>
      </c>
      <c r="G215" s="74" t="s">
        <v>750</v>
      </c>
      <c r="H215" s="12">
        <v>45</v>
      </c>
      <c r="I215" s="12">
        <v>45</v>
      </c>
      <c r="J215" s="3" t="s">
        <v>145</v>
      </c>
      <c r="K215" t="s">
        <v>741</v>
      </c>
      <c r="L215" s="3" t="s">
        <v>190</v>
      </c>
      <c r="M215" s="27" t="s">
        <v>1592</v>
      </c>
      <c r="N215" s="27" t="s">
        <v>190</v>
      </c>
      <c r="O215" s="21" t="s">
        <v>182</v>
      </c>
      <c r="P215" s="49" t="s">
        <v>182</v>
      </c>
    </row>
    <row r="216" spans="1:16">
      <c r="A216" s="73">
        <v>116</v>
      </c>
      <c r="B216" s="3" t="s">
        <v>201</v>
      </c>
      <c r="C216" s="3" t="s">
        <v>141</v>
      </c>
      <c r="D216" s="16">
        <v>43738</v>
      </c>
      <c r="E216" s="16">
        <v>43783</v>
      </c>
      <c r="F216" s="60" t="str">
        <f t="shared" si="3"/>
        <v>Monday</v>
      </c>
      <c r="G216" s="61" t="s">
        <v>1542</v>
      </c>
      <c r="H216" s="12">
        <v>10</v>
      </c>
      <c r="I216" s="12">
        <v>9</v>
      </c>
      <c r="J216" t="s">
        <v>145</v>
      </c>
      <c r="K216" t="s">
        <v>741</v>
      </c>
      <c r="L216" s="3" t="s">
        <v>190</v>
      </c>
      <c r="M216" s="27" t="s">
        <v>1592</v>
      </c>
      <c r="N216" s="27" t="s">
        <v>190</v>
      </c>
      <c r="O216" s="21" t="s">
        <v>182</v>
      </c>
      <c r="P216" s="49" t="s">
        <v>182</v>
      </c>
    </row>
    <row r="217" spans="1:16">
      <c r="A217" s="73">
        <v>116</v>
      </c>
      <c r="B217" s="3" t="s">
        <v>199</v>
      </c>
      <c r="C217" t="s">
        <v>141</v>
      </c>
      <c r="D217" s="16">
        <v>43757</v>
      </c>
      <c r="E217" s="56">
        <v>43760</v>
      </c>
      <c r="F217" s="60" t="str">
        <f t="shared" si="3"/>
        <v>Saturday</v>
      </c>
      <c r="G217" s="61" t="s">
        <v>1543</v>
      </c>
      <c r="H217" s="12">
        <v>32</v>
      </c>
      <c r="I217" s="12">
        <v>39</v>
      </c>
      <c r="J217" s="3" t="s">
        <v>192</v>
      </c>
      <c r="K217" t="s">
        <v>740</v>
      </c>
      <c r="L217" s="3" t="s">
        <v>190</v>
      </c>
      <c r="M217" s="27" t="s">
        <v>1633</v>
      </c>
      <c r="N217" s="27" t="s">
        <v>182</v>
      </c>
      <c r="O217" t="s">
        <v>181</v>
      </c>
      <c r="P217" s="3" t="s">
        <v>190</v>
      </c>
    </row>
    <row r="218" spans="1:16">
      <c r="A218" s="73">
        <v>116</v>
      </c>
      <c r="B218" s="3" t="s">
        <v>738</v>
      </c>
      <c r="C218" s="3" t="s">
        <v>141</v>
      </c>
      <c r="D218" s="16">
        <v>43762</v>
      </c>
      <c r="E218" s="16">
        <v>43762</v>
      </c>
      <c r="F218" s="60" t="str">
        <f t="shared" si="3"/>
        <v>Thursday</v>
      </c>
      <c r="G218" s="61" t="s">
        <v>1544</v>
      </c>
      <c r="H218" s="12">
        <v>4</v>
      </c>
      <c r="I218" s="12">
        <v>8</v>
      </c>
      <c r="J218" s="3" t="s">
        <v>192</v>
      </c>
      <c r="K218" s="3" t="s">
        <v>741</v>
      </c>
      <c r="L218" s="3" t="s">
        <v>190</v>
      </c>
      <c r="M218" s="27" t="s">
        <v>1592</v>
      </c>
      <c r="N218" s="27" t="s">
        <v>190</v>
      </c>
      <c r="O218" s="21" t="s">
        <v>182</v>
      </c>
      <c r="P218" s="49" t="s">
        <v>182</v>
      </c>
    </row>
    <row r="219" spans="1:16">
      <c r="A219" s="73">
        <v>116</v>
      </c>
      <c r="B219" s="3" t="s">
        <v>6</v>
      </c>
      <c r="C219" s="3" t="s">
        <v>141</v>
      </c>
      <c r="D219" s="16">
        <v>43783</v>
      </c>
      <c r="E219" s="16">
        <v>43783</v>
      </c>
      <c r="F219" s="60" t="str">
        <f t="shared" si="3"/>
        <v>Thursday</v>
      </c>
      <c r="G219" s="61" t="s">
        <v>1545</v>
      </c>
      <c r="H219" s="12">
        <v>19</v>
      </c>
      <c r="I219" s="12">
        <v>49</v>
      </c>
      <c r="J219" s="3" t="s">
        <v>192</v>
      </c>
      <c r="K219" t="s">
        <v>740</v>
      </c>
      <c r="L219" s="3" t="s">
        <v>190</v>
      </c>
      <c r="M219" s="27" t="s">
        <v>1592</v>
      </c>
      <c r="N219" s="27" t="s">
        <v>190</v>
      </c>
      <c r="O219" s="21" t="s">
        <v>182</v>
      </c>
      <c r="P219" s="49" t="s">
        <v>182</v>
      </c>
    </row>
  </sheetData>
  <autoFilter ref="A1:P1" xr:uid="{00000000-0001-0000-0000-000000000000}">
    <sortState xmlns:xlrd2="http://schemas.microsoft.com/office/spreadsheetml/2017/richdata2" ref="A2:P219">
      <sortCondition ref="D1:D219"/>
    </sortState>
  </autoFilter>
  <sortState xmlns:xlrd2="http://schemas.microsoft.com/office/spreadsheetml/2017/richdata2" ref="D2:P219">
    <sortCondition ref="D2:D219"/>
  </sortState>
  <conditionalFormatting sqref="H2:I100 B92 H102:I114 H117:I117 H119:I185 H187:I219">
    <cfRule type="cellIs" dxfId="18" priority="1" operator="equal">
      <formula>" "</formula>
    </cfRule>
  </conditionalFormatting>
  <conditionalFormatting sqref="H71:I71">
    <cfRule type="cellIs" dxfId="17" priority="95" operator="equal">
      <formula>"Sunday"</formula>
    </cfRule>
    <cfRule type="cellIs" dxfId="16" priority="96" operator="equal">
      <formula>"Saturday"</formula>
    </cfRule>
  </conditionalFormatting>
  <pageMargins left="0.7" right="0.7" top="0.75" bottom="0.75" header="0.3" footer="0.3"/>
  <pageSetup paperSize="9" scale="64" fitToHeight="0"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71808-B384-4D43-9CBD-5BE4C8791BAC}">
  <dimension ref="A1:H219"/>
  <sheetViews>
    <sheetView zoomScaleNormal="100" workbookViewId="0">
      <pane ySplit="1" topLeftCell="A2" activePane="bottomLeft" state="frozen"/>
      <selection pane="bottomLeft" activeCell="C16" sqref="C16"/>
    </sheetView>
  </sheetViews>
  <sheetFormatPr baseColWidth="10" defaultRowHeight="15"/>
  <cols>
    <col min="1" max="2" width="19.1640625" style="40" customWidth="1"/>
    <col min="3" max="8" width="19.1640625" style="3" customWidth="1"/>
    <col min="9" max="16384" width="10.83203125" style="3"/>
  </cols>
  <sheetData>
    <row r="1" spans="1:8" s="83" customFormat="1" ht="16">
      <c r="A1" s="82" t="s">
        <v>694</v>
      </c>
      <c r="B1" s="82" t="s">
        <v>1115</v>
      </c>
      <c r="C1" s="83" t="s">
        <v>1</v>
      </c>
      <c r="D1" s="83" t="s">
        <v>1238</v>
      </c>
      <c r="E1" s="83" t="s">
        <v>1234</v>
      </c>
      <c r="F1" s="84" t="s">
        <v>1235</v>
      </c>
      <c r="G1" s="85" t="s">
        <v>1231</v>
      </c>
      <c r="H1" s="83" t="s">
        <v>1232</v>
      </c>
    </row>
    <row r="2" spans="1:8">
      <c r="A2" s="40">
        <v>42038</v>
      </c>
      <c r="B2" s="40">
        <v>42045</v>
      </c>
      <c r="C2" s="3" t="s">
        <v>2</v>
      </c>
      <c r="D2" s="3" t="s">
        <v>1219</v>
      </c>
      <c r="E2" s="3" t="s">
        <v>757</v>
      </c>
      <c r="F2" s="3" t="s">
        <v>1132</v>
      </c>
      <c r="G2" s="3" t="s">
        <v>758</v>
      </c>
      <c r="H2" s="3" t="s">
        <v>1133</v>
      </c>
    </row>
    <row r="3" spans="1:8">
      <c r="A3" s="40">
        <v>38814</v>
      </c>
      <c r="B3" s="40">
        <v>38815</v>
      </c>
      <c r="C3" s="3" t="s">
        <v>3</v>
      </c>
      <c r="D3" s="3" t="s">
        <v>217</v>
      </c>
      <c r="E3" s="3" t="s">
        <v>772</v>
      </c>
      <c r="F3" s="3" t="s">
        <v>769</v>
      </c>
      <c r="G3" s="3" t="s">
        <v>770</v>
      </c>
      <c r="H3" s="3" t="s">
        <v>771</v>
      </c>
    </row>
    <row r="4" spans="1:8">
      <c r="A4" s="40">
        <v>41702</v>
      </c>
      <c r="B4" s="40">
        <v>42578</v>
      </c>
      <c r="C4" s="3" t="s">
        <v>4</v>
      </c>
      <c r="D4" s="3" t="s">
        <v>218</v>
      </c>
      <c r="E4" s="3" t="s">
        <v>764</v>
      </c>
      <c r="F4" s="3" t="s">
        <v>763</v>
      </c>
      <c r="G4" s="3" t="s">
        <v>766</v>
      </c>
      <c r="H4" s="3" t="s">
        <v>765</v>
      </c>
    </row>
    <row r="5" spans="1:8">
      <c r="A5" s="40">
        <v>42137</v>
      </c>
      <c r="B5" s="40">
        <v>42141</v>
      </c>
      <c r="C5" s="3" t="s">
        <v>4</v>
      </c>
      <c r="D5" s="3" t="s">
        <v>219</v>
      </c>
      <c r="E5" s="3" t="s">
        <v>764</v>
      </c>
      <c r="F5" s="3" t="s">
        <v>767</v>
      </c>
      <c r="G5" s="3" t="s">
        <v>766</v>
      </c>
      <c r="H5" s="3" t="s">
        <v>768</v>
      </c>
    </row>
    <row r="6" spans="1:8">
      <c r="A6" s="40">
        <v>43055</v>
      </c>
      <c r="B6" s="40">
        <v>43055</v>
      </c>
      <c r="C6" s="3" t="s">
        <v>5</v>
      </c>
      <c r="D6" s="3" t="s">
        <v>220</v>
      </c>
      <c r="E6" s="3" t="s">
        <v>760</v>
      </c>
      <c r="F6" s="3" t="s">
        <v>759</v>
      </c>
      <c r="G6" s="3" t="s">
        <v>762</v>
      </c>
      <c r="H6" s="3" t="s">
        <v>761</v>
      </c>
    </row>
    <row r="7" spans="1:8">
      <c r="A7" s="40">
        <v>40609</v>
      </c>
      <c r="B7" s="40">
        <v>40609</v>
      </c>
      <c r="C7" s="3" t="s">
        <v>6</v>
      </c>
      <c r="D7" s="3" t="s">
        <v>221</v>
      </c>
      <c r="E7" s="3" t="s">
        <v>974</v>
      </c>
      <c r="F7" s="3" t="s">
        <v>773</v>
      </c>
      <c r="G7" s="3" t="s">
        <v>774</v>
      </c>
      <c r="H7" s="3" t="s">
        <v>1134</v>
      </c>
    </row>
    <row r="8" spans="1:8">
      <c r="A8" s="40">
        <v>43783</v>
      </c>
      <c r="B8" s="40">
        <v>43783</v>
      </c>
      <c r="C8" s="3" t="s">
        <v>6</v>
      </c>
      <c r="D8" s="3" t="s">
        <v>222</v>
      </c>
      <c r="E8" s="3" t="s">
        <v>776</v>
      </c>
      <c r="F8" s="3" t="s">
        <v>1135</v>
      </c>
      <c r="G8" s="3" t="s">
        <v>762</v>
      </c>
      <c r="H8" s="3" t="s">
        <v>777</v>
      </c>
    </row>
    <row r="9" spans="1:8">
      <c r="A9" s="40">
        <v>40691</v>
      </c>
      <c r="B9" s="40">
        <v>40693</v>
      </c>
      <c r="C9" s="3" t="s">
        <v>7</v>
      </c>
      <c r="D9" s="3" t="s">
        <v>223</v>
      </c>
      <c r="E9" s="3" t="s">
        <v>764</v>
      </c>
      <c r="F9" s="3" t="s">
        <v>778</v>
      </c>
      <c r="G9" s="3" t="s">
        <v>762</v>
      </c>
      <c r="H9" s="3" t="s">
        <v>779</v>
      </c>
    </row>
    <row r="10" spans="1:8">
      <c r="A10" s="40">
        <v>41140</v>
      </c>
      <c r="B10" s="40">
        <v>41142</v>
      </c>
      <c r="C10" s="3" t="s">
        <v>8</v>
      </c>
      <c r="D10" s="3" t="s">
        <v>224</v>
      </c>
      <c r="E10" s="3" t="s">
        <v>764</v>
      </c>
      <c r="F10" s="3" t="s">
        <v>780</v>
      </c>
      <c r="G10" s="3" t="s">
        <v>762</v>
      </c>
      <c r="H10" s="3" t="s">
        <v>781</v>
      </c>
    </row>
    <row r="11" spans="1:8">
      <c r="A11" s="40">
        <v>39782</v>
      </c>
      <c r="B11" s="40">
        <v>40082</v>
      </c>
      <c r="C11" s="3" t="s">
        <v>9</v>
      </c>
      <c r="D11" s="3" t="s">
        <v>225</v>
      </c>
      <c r="E11" s="3" t="s">
        <v>783</v>
      </c>
      <c r="F11" s="3" t="s">
        <v>1136</v>
      </c>
      <c r="G11" s="3" t="s">
        <v>770</v>
      </c>
      <c r="H11" s="3" t="s">
        <v>782</v>
      </c>
    </row>
    <row r="12" spans="1:8">
      <c r="A12" s="40">
        <v>38260</v>
      </c>
      <c r="B12" s="40">
        <v>38261</v>
      </c>
      <c r="C12" s="3" t="s">
        <v>10</v>
      </c>
      <c r="D12" s="3" t="s">
        <v>226</v>
      </c>
      <c r="E12" s="3" t="s">
        <v>785</v>
      </c>
      <c r="F12" s="3" t="s">
        <v>784</v>
      </c>
      <c r="G12" s="3" t="s">
        <v>770</v>
      </c>
      <c r="H12" s="3" t="s">
        <v>786</v>
      </c>
    </row>
    <row r="13" spans="1:8">
      <c r="A13" s="40">
        <v>39782</v>
      </c>
      <c r="B13" s="40">
        <v>40082</v>
      </c>
      <c r="C13" s="3" t="s">
        <v>11</v>
      </c>
      <c r="D13" s="3" t="s">
        <v>227</v>
      </c>
      <c r="E13" s="3" t="s">
        <v>783</v>
      </c>
      <c r="F13" s="3" t="s">
        <v>1136</v>
      </c>
      <c r="G13" s="3" t="s">
        <v>775</v>
      </c>
      <c r="H13" s="3" t="s">
        <v>1137</v>
      </c>
    </row>
    <row r="14" spans="1:8">
      <c r="A14" s="40">
        <v>41676</v>
      </c>
      <c r="B14" s="40">
        <v>41677</v>
      </c>
      <c r="C14" s="3" t="s">
        <v>210</v>
      </c>
      <c r="D14" s="3" t="s">
        <v>228</v>
      </c>
      <c r="E14" s="3" t="s">
        <v>788</v>
      </c>
      <c r="F14" s="3" t="s">
        <v>787</v>
      </c>
      <c r="G14" s="3" t="s">
        <v>762</v>
      </c>
      <c r="H14" s="3" t="s">
        <v>789</v>
      </c>
    </row>
    <row r="15" spans="1:8">
      <c r="A15" s="40">
        <v>41878</v>
      </c>
      <c r="B15" s="40">
        <v>41879</v>
      </c>
      <c r="C15" s="3" t="s">
        <v>12</v>
      </c>
      <c r="D15" s="3" t="s">
        <v>229</v>
      </c>
      <c r="E15" s="3" t="s">
        <v>1217</v>
      </c>
      <c r="F15" s="3" t="s">
        <v>790</v>
      </c>
      <c r="G15" s="3" t="s">
        <v>792</v>
      </c>
      <c r="H15" s="3" t="s">
        <v>791</v>
      </c>
    </row>
    <row r="16" spans="1:8">
      <c r="A16" s="40">
        <v>40050</v>
      </c>
      <c r="B16" s="40">
        <v>40051</v>
      </c>
      <c r="C16" s="3" t="s">
        <v>13</v>
      </c>
      <c r="D16" s="3" t="s">
        <v>1220</v>
      </c>
      <c r="E16" s="3" t="s">
        <v>799</v>
      </c>
      <c r="F16" s="3" t="s">
        <v>800</v>
      </c>
      <c r="G16" s="3" t="s">
        <v>802</v>
      </c>
      <c r="H16" s="3" t="s">
        <v>801</v>
      </c>
    </row>
    <row r="17" spans="1:8">
      <c r="A17" s="40">
        <v>39640</v>
      </c>
      <c r="B17" s="40">
        <v>39640</v>
      </c>
      <c r="C17" s="3" t="s">
        <v>13</v>
      </c>
      <c r="D17" s="3" t="s">
        <v>1221</v>
      </c>
      <c r="E17" s="3" t="s">
        <v>785</v>
      </c>
      <c r="F17" s="3" t="s">
        <v>795</v>
      </c>
      <c r="G17" s="3" t="s">
        <v>762</v>
      </c>
      <c r="H17" s="3" t="s">
        <v>796</v>
      </c>
    </row>
    <row r="18" spans="1:8">
      <c r="A18" s="40">
        <v>39644</v>
      </c>
      <c r="B18" s="40">
        <v>39644</v>
      </c>
      <c r="C18" s="3" t="s">
        <v>13</v>
      </c>
      <c r="D18" s="3" t="s">
        <v>230</v>
      </c>
      <c r="E18" s="3" t="s">
        <v>770</v>
      </c>
      <c r="F18" s="3" t="s">
        <v>1131</v>
      </c>
      <c r="G18" s="3" t="s">
        <v>770</v>
      </c>
      <c r="H18" s="3" t="s">
        <v>1131</v>
      </c>
    </row>
    <row r="19" spans="1:8">
      <c r="A19" s="40">
        <v>39691</v>
      </c>
      <c r="B19" s="40">
        <v>39695</v>
      </c>
      <c r="C19" s="3" t="s">
        <v>13</v>
      </c>
      <c r="D19" s="3" t="s">
        <v>231</v>
      </c>
      <c r="E19" s="3" t="s">
        <v>783</v>
      </c>
      <c r="F19" s="3" t="s">
        <v>1138</v>
      </c>
      <c r="G19" s="3" t="s">
        <v>770</v>
      </c>
      <c r="H19" s="3" t="s">
        <v>1139</v>
      </c>
    </row>
    <row r="20" spans="1:8">
      <c r="A20" s="40">
        <v>39776</v>
      </c>
      <c r="B20" s="40">
        <v>39777</v>
      </c>
      <c r="C20" s="3" t="s">
        <v>13</v>
      </c>
      <c r="D20" s="3" t="s">
        <v>232</v>
      </c>
      <c r="E20" s="3" t="s">
        <v>798</v>
      </c>
      <c r="F20" s="3" t="s">
        <v>797</v>
      </c>
      <c r="G20" s="3" t="s">
        <v>762</v>
      </c>
      <c r="H20" s="3" t="s">
        <v>803</v>
      </c>
    </row>
    <row r="21" spans="1:8">
      <c r="A21" s="40">
        <v>39782</v>
      </c>
      <c r="B21" s="40">
        <v>39990</v>
      </c>
      <c r="C21" s="3" t="s">
        <v>13</v>
      </c>
      <c r="D21" s="3" t="s">
        <v>233</v>
      </c>
      <c r="E21" s="3" t="s">
        <v>783</v>
      </c>
      <c r="F21" s="3" t="s">
        <v>1136</v>
      </c>
      <c r="G21" s="3" t="s">
        <v>775</v>
      </c>
      <c r="H21" s="3" t="s">
        <v>1137</v>
      </c>
    </row>
    <row r="22" spans="1:8">
      <c r="A22" s="40">
        <v>39786</v>
      </c>
      <c r="B22" s="40">
        <v>39788</v>
      </c>
      <c r="C22" s="3" t="s">
        <v>13</v>
      </c>
      <c r="D22" s="3" t="s">
        <v>587</v>
      </c>
      <c r="E22" s="3" t="s">
        <v>764</v>
      </c>
      <c r="F22" s="3" t="s">
        <v>793</v>
      </c>
      <c r="G22" s="3" t="s">
        <v>775</v>
      </c>
      <c r="H22" s="3" t="s">
        <v>794</v>
      </c>
    </row>
    <row r="23" spans="1:8">
      <c r="A23" s="40">
        <v>38882</v>
      </c>
      <c r="B23" s="40">
        <v>38897</v>
      </c>
      <c r="C23" s="3" t="s">
        <v>14</v>
      </c>
      <c r="D23" s="3" t="s">
        <v>234</v>
      </c>
      <c r="E23" s="3" t="s">
        <v>804</v>
      </c>
      <c r="F23" s="3" t="s">
        <v>805</v>
      </c>
      <c r="G23" s="3" t="s">
        <v>775</v>
      </c>
      <c r="H23" s="3" t="s">
        <v>806</v>
      </c>
    </row>
    <row r="24" spans="1:8">
      <c r="A24" s="40">
        <v>38726</v>
      </c>
      <c r="B24" s="40">
        <v>38737</v>
      </c>
      <c r="C24" s="3" t="s">
        <v>15</v>
      </c>
      <c r="D24" s="3" t="s">
        <v>235</v>
      </c>
      <c r="E24" s="3" t="s">
        <v>808</v>
      </c>
      <c r="F24" s="3" t="s">
        <v>807</v>
      </c>
      <c r="G24" s="3" t="s">
        <v>758</v>
      </c>
      <c r="H24" s="3" t="s">
        <v>1140</v>
      </c>
    </row>
    <row r="25" spans="1:8">
      <c r="A25" s="40">
        <v>38736</v>
      </c>
      <c r="B25" s="40">
        <v>38737</v>
      </c>
      <c r="C25" s="3" t="s">
        <v>15</v>
      </c>
      <c r="D25" s="3" t="s">
        <v>1222</v>
      </c>
      <c r="E25" s="3" t="s">
        <v>799</v>
      </c>
      <c r="F25" s="3" t="s">
        <v>809</v>
      </c>
      <c r="G25" s="3" t="s">
        <v>758</v>
      </c>
      <c r="H25" s="3" t="s">
        <v>1140</v>
      </c>
    </row>
    <row r="26" spans="1:8">
      <c r="A26" s="40">
        <v>39274</v>
      </c>
      <c r="B26" s="40">
        <v>39408</v>
      </c>
      <c r="C26" s="3" t="s">
        <v>15</v>
      </c>
      <c r="D26" s="3" t="s">
        <v>236</v>
      </c>
      <c r="E26" s="3" t="s">
        <v>873</v>
      </c>
      <c r="F26" s="3" t="s">
        <v>810</v>
      </c>
      <c r="G26" s="3" t="s">
        <v>770</v>
      </c>
      <c r="H26" s="3" t="s">
        <v>1141</v>
      </c>
    </row>
    <row r="27" spans="1:8">
      <c r="A27" s="40">
        <v>39547</v>
      </c>
      <c r="B27" s="40">
        <v>39547</v>
      </c>
      <c r="C27" s="3" t="s">
        <v>16</v>
      </c>
      <c r="D27" s="3" t="s">
        <v>237</v>
      </c>
      <c r="E27" s="3" t="s">
        <v>811</v>
      </c>
      <c r="F27" s="3" t="s">
        <v>812</v>
      </c>
      <c r="G27" s="3" t="s">
        <v>841</v>
      </c>
      <c r="H27" s="3" t="s">
        <v>813</v>
      </c>
    </row>
    <row r="28" spans="1:8">
      <c r="A28" s="40">
        <v>37596</v>
      </c>
      <c r="B28" s="40">
        <v>37597</v>
      </c>
      <c r="C28" s="3" t="s">
        <v>17</v>
      </c>
      <c r="D28" s="3" t="s">
        <v>238</v>
      </c>
      <c r="E28" s="3" t="s">
        <v>815</v>
      </c>
      <c r="F28" s="3" t="s">
        <v>814</v>
      </c>
      <c r="G28" s="3" t="s">
        <v>770</v>
      </c>
      <c r="H28" s="3" t="s">
        <v>1142</v>
      </c>
    </row>
    <row r="29" spans="1:8">
      <c r="A29" s="40">
        <v>43320</v>
      </c>
      <c r="B29" s="40">
        <v>43320</v>
      </c>
      <c r="C29" s="3" t="s">
        <v>18</v>
      </c>
      <c r="D29" s="3" t="s">
        <v>239</v>
      </c>
      <c r="E29" s="3" t="s">
        <v>1216</v>
      </c>
      <c r="F29" s="3" t="s">
        <v>816</v>
      </c>
      <c r="G29" s="3" t="s">
        <v>762</v>
      </c>
      <c r="H29" s="3" t="s">
        <v>817</v>
      </c>
    </row>
    <row r="30" spans="1:8">
      <c r="A30" s="40">
        <v>38308</v>
      </c>
      <c r="B30" s="40">
        <v>38309</v>
      </c>
      <c r="C30" s="3" t="s">
        <v>19</v>
      </c>
      <c r="D30" s="3" t="s">
        <v>240</v>
      </c>
      <c r="E30" s="3" t="s">
        <v>785</v>
      </c>
      <c r="F30" s="3" t="s">
        <v>822</v>
      </c>
      <c r="G30" s="3" t="s">
        <v>770</v>
      </c>
      <c r="H30" s="3" t="s">
        <v>823</v>
      </c>
    </row>
    <row r="31" spans="1:8">
      <c r="A31" s="40">
        <v>39612</v>
      </c>
      <c r="B31" s="40">
        <v>39612</v>
      </c>
      <c r="C31" s="3" t="s">
        <v>19</v>
      </c>
      <c r="D31" s="3" t="s">
        <v>241</v>
      </c>
      <c r="E31" s="3" t="s">
        <v>785</v>
      </c>
      <c r="F31" s="3" t="s">
        <v>820</v>
      </c>
      <c r="G31" s="3" t="s">
        <v>802</v>
      </c>
      <c r="H31" s="3" t="s">
        <v>821</v>
      </c>
    </row>
    <row r="32" spans="1:8">
      <c r="A32" s="40">
        <v>40343</v>
      </c>
      <c r="B32" s="40">
        <v>40344</v>
      </c>
      <c r="C32" s="3" t="s">
        <v>20</v>
      </c>
      <c r="D32" s="3" t="s">
        <v>243</v>
      </c>
      <c r="E32" s="3" t="s">
        <v>824</v>
      </c>
      <c r="F32" s="3" t="s">
        <v>825</v>
      </c>
      <c r="G32" s="3" t="s">
        <v>762</v>
      </c>
      <c r="H32" s="3" t="s">
        <v>826</v>
      </c>
    </row>
    <row r="33" spans="1:8">
      <c r="A33" s="40">
        <v>40583</v>
      </c>
      <c r="B33" s="40">
        <v>40584</v>
      </c>
      <c r="C33" s="3" t="s">
        <v>20</v>
      </c>
      <c r="D33" s="3" t="s">
        <v>242</v>
      </c>
      <c r="E33" s="3" t="s">
        <v>818</v>
      </c>
      <c r="F33" s="3" t="s">
        <v>1143</v>
      </c>
      <c r="G33" s="3" t="s">
        <v>762</v>
      </c>
      <c r="H33" s="3" t="s">
        <v>819</v>
      </c>
    </row>
    <row r="34" spans="1:8">
      <c r="A34" s="40">
        <v>43415</v>
      </c>
      <c r="B34" s="40">
        <v>43416</v>
      </c>
      <c r="C34" s="3" t="s">
        <v>21</v>
      </c>
      <c r="D34" s="3" t="s">
        <v>244</v>
      </c>
      <c r="E34" s="3" t="s">
        <v>757</v>
      </c>
      <c r="F34" s="3" t="s">
        <v>1144</v>
      </c>
      <c r="G34" s="3" t="s">
        <v>762</v>
      </c>
      <c r="H34" s="3" t="s">
        <v>864</v>
      </c>
    </row>
    <row r="35" spans="1:8">
      <c r="A35" s="40">
        <v>40975</v>
      </c>
      <c r="B35" s="40">
        <v>40979</v>
      </c>
      <c r="C35" s="3" t="s">
        <v>22</v>
      </c>
      <c r="D35" s="3" t="s">
        <v>245</v>
      </c>
      <c r="E35" s="3" t="s">
        <v>866</v>
      </c>
      <c r="F35" s="3" t="s">
        <v>865</v>
      </c>
      <c r="G35" s="3" t="s">
        <v>766</v>
      </c>
      <c r="H35" s="3" t="s">
        <v>1119</v>
      </c>
    </row>
    <row r="36" spans="1:8">
      <c r="A36" s="40">
        <v>38412</v>
      </c>
      <c r="B36" s="40">
        <v>38412</v>
      </c>
      <c r="C36" s="3" t="s">
        <v>23</v>
      </c>
      <c r="D36" s="3" t="s">
        <v>246</v>
      </c>
      <c r="E36" s="3" t="s">
        <v>804</v>
      </c>
      <c r="F36" s="3" t="s">
        <v>867</v>
      </c>
      <c r="G36" s="3" t="s">
        <v>770</v>
      </c>
      <c r="H36" s="3" t="s">
        <v>1145</v>
      </c>
    </row>
    <row r="37" spans="1:8">
      <c r="A37" s="40">
        <v>42433</v>
      </c>
      <c r="B37" s="40">
        <v>42453</v>
      </c>
      <c r="C37" s="3" t="s">
        <v>24</v>
      </c>
      <c r="D37" s="3" t="s">
        <v>247</v>
      </c>
      <c r="E37" s="3" t="s">
        <v>869</v>
      </c>
      <c r="F37" s="3" t="s">
        <v>868</v>
      </c>
      <c r="G37" s="3" t="s">
        <v>766</v>
      </c>
      <c r="H37" s="3" t="s">
        <v>870</v>
      </c>
    </row>
    <row r="38" spans="1:8">
      <c r="A38" s="40">
        <v>38805</v>
      </c>
      <c r="B38" s="40">
        <v>38806</v>
      </c>
      <c r="C38" s="3" t="s">
        <v>25</v>
      </c>
      <c r="D38" s="3" t="s">
        <v>248</v>
      </c>
      <c r="E38" s="3" t="s">
        <v>857</v>
      </c>
      <c r="F38" s="3" t="s">
        <v>858</v>
      </c>
      <c r="G38" s="3" t="s">
        <v>770</v>
      </c>
      <c r="H38" s="3" t="s">
        <v>859</v>
      </c>
    </row>
    <row r="39" spans="1:8">
      <c r="A39" s="40">
        <v>39272</v>
      </c>
      <c r="B39" s="40">
        <v>39273</v>
      </c>
      <c r="C39" s="3" t="s">
        <v>26</v>
      </c>
      <c r="D39" s="3" t="s">
        <v>249</v>
      </c>
      <c r="E39" s="3" t="s">
        <v>764</v>
      </c>
      <c r="F39" s="3" t="s">
        <v>871</v>
      </c>
      <c r="G39" s="3" t="s">
        <v>770</v>
      </c>
      <c r="H39" s="3" t="s">
        <v>872</v>
      </c>
    </row>
    <row r="40" spans="1:8">
      <c r="A40" s="40">
        <v>40546</v>
      </c>
      <c r="B40" s="40">
        <v>40547</v>
      </c>
      <c r="C40" s="3" t="s">
        <v>27</v>
      </c>
      <c r="D40" s="3" t="s">
        <v>250</v>
      </c>
      <c r="E40" s="3" t="s">
        <v>873</v>
      </c>
      <c r="F40" s="3" t="s">
        <v>1146</v>
      </c>
      <c r="G40" s="3" t="s">
        <v>841</v>
      </c>
      <c r="H40" s="3" t="s">
        <v>874</v>
      </c>
    </row>
    <row r="41" spans="1:8">
      <c r="A41" s="40">
        <v>41143</v>
      </c>
      <c r="B41" s="40">
        <v>41205</v>
      </c>
      <c r="C41" s="3" t="s">
        <v>27</v>
      </c>
      <c r="D41" s="3" t="s">
        <v>1223</v>
      </c>
      <c r="E41" s="3" t="s">
        <v>866</v>
      </c>
      <c r="F41" s="3" t="s">
        <v>1147</v>
      </c>
      <c r="G41" s="3" t="s">
        <v>770</v>
      </c>
      <c r="H41" s="3" t="s">
        <v>810</v>
      </c>
    </row>
    <row r="42" spans="1:8">
      <c r="A42" s="40">
        <v>43251</v>
      </c>
      <c r="B42" s="40">
        <v>43589</v>
      </c>
      <c r="C42" s="3" t="s">
        <v>202</v>
      </c>
      <c r="D42" s="3" t="s">
        <v>251</v>
      </c>
      <c r="E42" s="3" t="s">
        <v>1217</v>
      </c>
      <c r="F42" s="3" t="s">
        <v>875</v>
      </c>
      <c r="G42" s="3" t="s">
        <v>775</v>
      </c>
      <c r="H42" s="3" t="s">
        <v>876</v>
      </c>
    </row>
    <row r="43" spans="1:8">
      <c r="A43" s="40">
        <v>38272</v>
      </c>
      <c r="B43" s="40">
        <v>38273</v>
      </c>
      <c r="C43" s="3" t="s">
        <v>28</v>
      </c>
      <c r="D43" s="3" t="s">
        <v>252</v>
      </c>
      <c r="E43" s="3" t="s">
        <v>831</v>
      </c>
      <c r="F43" s="3" t="s">
        <v>846</v>
      </c>
      <c r="G43" s="3" t="s">
        <v>770</v>
      </c>
      <c r="H43" s="3" t="s">
        <v>847</v>
      </c>
    </row>
    <row r="44" spans="1:8">
      <c r="A44" s="40">
        <v>40593</v>
      </c>
      <c r="B44" s="40">
        <v>40597</v>
      </c>
      <c r="C44" s="3" t="s">
        <v>28</v>
      </c>
      <c r="D44" s="3" t="s">
        <v>253</v>
      </c>
      <c r="E44" s="3" t="s">
        <v>1218</v>
      </c>
      <c r="F44" s="3" t="s">
        <v>877</v>
      </c>
      <c r="G44" s="3" t="s">
        <v>770</v>
      </c>
      <c r="H44" s="3" t="s">
        <v>878</v>
      </c>
    </row>
    <row r="45" spans="1:8">
      <c r="A45" s="40">
        <v>40746</v>
      </c>
      <c r="B45" s="40">
        <v>40748</v>
      </c>
      <c r="C45" s="3" t="s">
        <v>28</v>
      </c>
      <c r="D45" s="3" t="s">
        <v>254</v>
      </c>
      <c r="E45" s="3" t="s">
        <v>764</v>
      </c>
      <c r="F45" s="3" t="s">
        <v>879</v>
      </c>
      <c r="G45" s="3" t="s">
        <v>770</v>
      </c>
      <c r="H45" s="3" t="s">
        <v>880</v>
      </c>
    </row>
    <row r="46" spans="1:8">
      <c r="A46" s="40">
        <v>42551</v>
      </c>
      <c r="B46" s="40">
        <v>42575</v>
      </c>
      <c r="C46" s="3" t="s">
        <v>29</v>
      </c>
      <c r="D46" s="3" t="s">
        <v>255</v>
      </c>
      <c r="E46" s="3" t="s">
        <v>798</v>
      </c>
      <c r="F46" s="3" t="s">
        <v>881</v>
      </c>
      <c r="G46" s="3" t="s">
        <v>762</v>
      </c>
      <c r="H46" s="3" t="s">
        <v>882</v>
      </c>
    </row>
    <row r="47" spans="1:8">
      <c r="A47" s="40">
        <v>39239</v>
      </c>
      <c r="B47" s="40">
        <v>39240</v>
      </c>
      <c r="C47" s="3" t="s">
        <v>30</v>
      </c>
      <c r="D47" s="3" t="s">
        <v>256</v>
      </c>
      <c r="E47" s="3" t="s">
        <v>883</v>
      </c>
      <c r="F47" s="3" t="s">
        <v>884</v>
      </c>
      <c r="G47" s="3" t="s">
        <v>762</v>
      </c>
      <c r="H47" s="3" t="s">
        <v>885</v>
      </c>
    </row>
    <row r="48" spans="1:8">
      <c r="A48" s="40">
        <v>39288</v>
      </c>
      <c r="B48" s="40">
        <v>39288</v>
      </c>
      <c r="C48" s="3" t="s">
        <v>30</v>
      </c>
      <c r="D48" s="3" t="s">
        <v>257</v>
      </c>
      <c r="E48" s="3" t="s">
        <v>886</v>
      </c>
      <c r="F48" s="3" t="s">
        <v>887</v>
      </c>
      <c r="G48" s="3" t="s">
        <v>775</v>
      </c>
      <c r="H48" s="3" t="s">
        <v>888</v>
      </c>
    </row>
    <row r="49" spans="1:8">
      <c r="A49" s="40">
        <v>41352</v>
      </c>
      <c r="B49" s="40">
        <v>41353</v>
      </c>
      <c r="C49" s="3" t="s">
        <v>30</v>
      </c>
      <c r="D49" s="3" t="s">
        <v>258</v>
      </c>
      <c r="E49" s="3" t="s">
        <v>788</v>
      </c>
      <c r="F49" s="3" t="s">
        <v>1224</v>
      </c>
      <c r="G49" s="3" t="s">
        <v>762</v>
      </c>
      <c r="H49" s="3" t="s">
        <v>889</v>
      </c>
    </row>
    <row r="50" spans="1:8">
      <c r="A50" s="40">
        <v>41361</v>
      </c>
      <c r="B50" s="40">
        <v>41363</v>
      </c>
      <c r="C50" s="3" t="s">
        <v>30</v>
      </c>
      <c r="D50" s="3" t="s">
        <v>259</v>
      </c>
      <c r="E50" s="3" t="s">
        <v>1084</v>
      </c>
      <c r="F50" s="3" t="s">
        <v>1148</v>
      </c>
      <c r="G50" s="3" t="s">
        <v>762</v>
      </c>
      <c r="H50" s="3" t="s">
        <v>1233</v>
      </c>
    </row>
    <row r="51" spans="1:8">
      <c r="A51" s="40">
        <v>38474</v>
      </c>
      <c r="B51" s="40">
        <v>38476</v>
      </c>
      <c r="C51" s="3" t="s">
        <v>31</v>
      </c>
      <c r="D51" s="3" t="s">
        <v>260</v>
      </c>
      <c r="E51" s="3" t="s">
        <v>891</v>
      </c>
      <c r="F51" s="3" t="s">
        <v>890</v>
      </c>
      <c r="G51" s="3" t="s">
        <v>770</v>
      </c>
      <c r="H51" s="3" t="s">
        <v>859</v>
      </c>
    </row>
    <row r="52" spans="1:8">
      <c r="A52" s="40">
        <v>39782</v>
      </c>
      <c r="B52" s="40">
        <v>39990</v>
      </c>
      <c r="C52" s="3" t="s">
        <v>32</v>
      </c>
      <c r="D52" s="3" t="s">
        <v>261</v>
      </c>
      <c r="E52" s="3" t="s">
        <v>783</v>
      </c>
      <c r="F52" s="3" t="s">
        <v>1136</v>
      </c>
      <c r="G52" s="3" t="s">
        <v>775</v>
      </c>
      <c r="H52" s="3" t="s">
        <v>1137</v>
      </c>
    </row>
    <row r="53" spans="1:8">
      <c r="A53" s="40">
        <v>42466</v>
      </c>
      <c r="B53" s="40">
        <v>42743</v>
      </c>
      <c r="C53" s="3" t="s">
        <v>33</v>
      </c>
      <c r="D53" s="3" t="s">
        <v>262</v>
      </c>
      <c r="E53" s="3" t="s">
        <v>892</v>
      </c>
      <c r="F53" s="3" t="s">
        <v>893</v>
      </c>
      <c r="G53" s="3" t="s">
        <v>770</v>
      </c>
      <c r="H53" s="3" t="s">
        <v>894</v>
      </c>
    </row>
    <row r="54" spans="1:8">
      <c r="A54" s="40">
        <v>43347</v>
      </c>
      <c r="B54" s="40">
        <v>43399</v>
      </c>
      <c r="C54" s="3" t="s">
        <v>33</v>
      </c>
      <c r="D54" s="3" t="s">
        <v>263</v>
      </c>
      <c r="E54" s="3" t="s">
        <v>895</v>
      </c>
      <c r="F54" s="3" t="s">
        <v>1149</v>
      </c>
      <c r="G54" s="3" t="s">
        <v>762</v>
      </c>
      <c r="H54" s="3" t="s">
        <v>896</v>
      </c>
    </row>
    <row r="55" spans="1:8">
      <c r="A55" s="40">
        <v>40343</v>
      </c>
      <c r="B55" s="40">
        <v>40344</v>
      </c>
      <c r="C55" s="3" t="s">
        <v>593</v>
      </c>
      <c r="D55" s="3" t="s">
        <v>243</v>
      </c>
      <c r="E55" s="3" t="s">
        <v>824</v>
      </c>
      <c r="F55" s="3" t="s">
        <v>825</v>
      </c>
      <c r="G55" s="3" t="s">
        <v>762</v>
      </c>
      <c r="H55" s="3" t="s">
        <v>826</v>
      </c>
    </row>
    <row r="56" spans="1:8">
      <c r="A56" s="40">
        <v>40419</v>
      </c>
      <c r="B56" s="40">
        <v>40422</v>
      </c>
      <c r="C56" s="3" t="s">
        <v>34</v>
      </c>
      <c r="D56" s="3" t="s">
        <v>264</v>
      </c>
      <c r="E56" s="3" t="s">
        <v>824</v>
      </c>
      <c r="F56" s="3" t="s">
        <v>897</v>
      </c>
      <c r="G56" s="3" t="s">
        <v>762</v>
      </c>
      <c r="H56" s="3" t="s">
        <v>898</v>
      </c>
    </row>
    <row r="57" spans="1:8">
      <c r="A57" s="40">
        <v>40032</v>
      </c>
      <c r="B57" s="40">
        <v>40032</v>
      </c>
      <c r="C57" s="3" t="s">
        <v>35</v>
      </c>
      <c r="D57" s="3" t="s">
        <v>265</v>
      </c>
      <c r="E57" s="3" t="s">
        <v>891</v>
      </c>
      <c r="F57" s="3" t="s">
        <v>899</v>
      </c>
      <c r="G57" s="3" t="s">
        <v>775</v>
      </c>
      <c r="H57" s="3" t="s">
        <v>900</v>
      </c>
    </row>
    <row r="58" spans="1:8">
      <c r="A58" s="40">
        <v>38229</v>
      </c>
      <c r="B58" s="40">
        <v>38230</v>
      </c>
      <c r="C58" s="3" t="s">
        <v>36</v>
      </c>
      <c r="D58" s="3" t="s">
        <v>266</v>
      </c>
      <c r="E58" s="3" t="s">
        <v>785</v>
      </c>
      <c r="F58" s="3" t="s">
        <v>1150</v>
      </c>
      <c r="G58" s="3" t="s">
        <v>770</v>
      </c>
      <c r="H58" s="3" t="s">
        <v>1153</v>
      </c>
    </row>
    <row r="59" spans="1:8">
      <c r="A59" s="40">
        <v>43188</v>
      </c>
      <c r="B59" s="40">
        <v>43189</v>
      </c>
      <c r="C59" s="3" t="s">
        <v>37</v>
      </c>
      <c r="D59" s="3" t="s">
        <v>267</v>
      </c>
      <c r="E59" s="3" t="s">
        <v>902</v>
      </c>
      <c r="F59" s="3" t="s">
        <v>901</v>
      </c>
      <c r="G59" s="3" t="s">
        <v>770</v>
      </c>
      <c r="H59" s="3" t="s">
        <v>903</v>
      </c>
    </row>
    <row r="60" spans="1:8">
      <c r="A60" s="40">
        <v>40240</v>
      </c>
      <c r="B60" s="40">
        <v>40241</v>
      </c>
      <c r="C60" s="3" t="s">
        <v>38</v>
      </c>
      <c r="D60" s="3" t="s">
        <v>268</v>
      </c>
      <c r="E60" s="3" t="s">
        <v>883</v>
      </c>
      <c r="F60" s="3" t="s">
        <v>904</v>
      </c>
      <c r="G60" s="3" t="s">
        <v>802</v>
      </c>
      <c r="H60" s="3" t="s">
        <v>905</v>
      </c>
    </row>
    <row r="61" spans="1:8">
      <c r="A61" s="40">
        <v>40343</v>
      </c>
      <c r="B61" s="40">
        <v>40344</v>
      </c>
      <c r="C61" s="3" t="s">
        <v>590</v>
      </c>
      <c r="D61" s="3" t="s">
        <v>243</v>
      </c>
      <c r="E61" s="3" t="s">
        <v>824</v>
      </c>
      <c r="F61" s="3" t="s">
        <v>825</v>
      </c>
      <c r="G61" s="3" t="s">
        <v>762</v>
      </c>
      <c r="H61" s="3" t="s">
        <v>826</v>
      </c>
    </row>
    <row r="62" spans="1:8">
      <c r="A62" s="40">
        <v>37026</v>
      </c>
      <c r="B62" s="40">
        <v>37027</v>
      </c>
      <c r="C62" s="3" t="s">
        <v>39</v>
      </c>
      <c r="D62" s="3" t="s">
        <v>269</v>
      </c>
      <c r="E62" s="3" t="s">
        <v>804</v>
      </c>
      <c r="F62" s="3" t="s">
        <v>1151</v>
      </c>
      <c r="G62" s="3" t="s">
        <v>802</v>
      </c>
      <c r="H62" s="3" t="s">
        <v>832</v>
      </c>
    </row>
    <row r="63" spans="1:8">
      <c r="A63" s="40">
        <v>38911</v>
      </c>
      <c r="B63" s="40">
        <v>39117</v>
      </c>
      <c r="C63" s="3" t="s">
        <v>40</v>
      </c>
      <c r="D63" s="3" t="s">
        <v>270</v>
      </c>
      <c r="E63" s="3" t="s">
        <v>855</v>
      </c>
      <c r="F63" s="3" t="s">
        <v>906</v>
      </c>
      <c r="G63" s="3" t="s">
        <v>762</v>
      </c>
      <c r="H63" s="3" t="s">
        <v>907</v>
      </c>
    </row>
    <row r="64" spans="1:8">
      <c r="A64" s="40">
        <v>38942</v>
      </c>
      <c r="B64" s="40">
        <v>39117</v>
      </c>
      <c r="C64" s="3" t="s">
        <v>40</v>
      </c>
      <c r="D64" s="3" t="s">
        <v>271</v>
      </c>
      <c r="E64" s="3" t="s">
        <v>804</v>
      </c>
      <c r="F64" s="3" t="s">
        <v>908</v>
      </c>
      <c r="G64" s="3" t="s">
        <v>762</v>
      </c>
      <c r="H64" s="3" t="s">
        <v>907</v>
      </c>
    </row>
    <row r="65" spans="1:8">
      <c r="A65" s="40">
        <v>39612</v>
      </c>
      <c r="B65" s="40">
        <v>39612</v>
      </c>
      <c r="C65" s="3" t="s">
        <v>41</v>
      </c>
      <c r="D65" s="3" t="s">
        <v>273</v>
      </c>
      <c r="E65" s="3" t="s">
        <v>804</v>
      </c>
      <c r="F65" s="3" t="s">
        <v>909</v>
      </c>
      <c r="G65" s="3" t="s">
        <v>802</v>
      </c>
      <c r="H65" s="3" t="s">
        <v>821</v>
      </c>
    </row>
    <row r="66" spans="1:8">
      <c r="A66" s="40">
        <v>38943</v>
      </c>
      <c r="B66" s="40">
        <v>38944</v>
      </c>
      <c r="C66" s="3" t="s">
        <v>42</v>
      </c>
      <c r="D66" s="3" t="s">
        <v>272</v>
      </c>
      <c r="E66" s="3" t="s">
        <v>910</v>
      </c>
      <c r="F66" s="3" t="s">
        <v>1152</v>
      </c>
      <c r="G66" s="3" t="s">
        <v>770</v>
      </c>
      <c r="H66" s="3" t="s">
        <v>911</v>
      </c>
    </row>
    <row r="67" spans="1:8">
      <c r="A67" s="40">
        <v>39332</v>
      </c>
      <c r="B67" s="40">
        <v>39481</v>
      </c>
      <c r="C67" s="3" t="s">
        <v>43</v>
      </c>
      <c r="D67" s="3" t="s">
        <v>274</v>
      </c>
      <c r="E67" s="3" t="s">
        <v>804</v>
      </c>
      <c r="F67" s="3" t="s">
        <v>1154</v>
      </c>
      <c r="G67" s="3" t="s">
        <v>762</v>
      </c>
      <c r="H67" s="3" t="s">
        <v>912</v>
      </c>
    </row>
    <row r="68" spans="1:8">
      <c r="A68" s="40">
        <v>40176</v>
      </c>
      <c r="B68" s="40">
        <v>40176</v>
      </c>
      <c r="C68" s="3" t="s">
        <v>44</v>
      </c>
      <c r="D68" s="3" t="s">
        <v>275</v>
      </c>
      <c r="E68" s="3" t="s">
        <v>802</v>
      </c>
      <c r="F68" s="3" t="s">
        <v>1155</v>
      </c>
      <c r="G68" s="3" t="s">
        <v>802</v>
      </c>
      <c r="H68" s="3" t="s">
        <v>1155</v>
      </c>
    </row>
    <row r="69" spans="1:8">
      <c r="A69" s="40">
        <v>40209</v>
      </c>
      <c r="B69" s="40">
        <v>40220</v>
      </c>
      <c r="C69" s="3" t="s">
        <v>44</v>
      </c>
      <c r="D69" s="3" t="s">
        <v>276</v>
      </c>
      <c r="E69" s="3" t="s">
        <v>783</v>
      </c>
      <c r="F69" s="3" t="s">
        <v>913</v>
      </c>
      <c r="G69" s="3" t="s">
        <v>762</v>
      </c>
      <c r="H69" s="3" t="s">
        <v>914</v>
      </c>
    </row>
    <row r="70" spans="1:8">
      <c r="A70" s="40">
        <v>40348</v>
      </c>
      <c r="B70" s="40">
        <v>40349</v>
      </c>
      <c r="C70" s="3" t="s">
        <v>44</v>
      </c>
      <c r="D70" s="3" t="s">
        <v>277</v>
      </c>
      <c r="E70" s="3" t="s">
        <v>783</v>
      </c>
      <c r="F70" s="3" t="s">
        <v>915</v>
      </c>
      <c r="G70" s="3" t="s">
        <v>802</v>
      </c>
      <c r="H70" s="3" t="s">
        <v>1156</v>
      </c>
    </row>
    <row r="71" spans="1:8">
      <c r="A71" s="40">
        <v>40357</v>
      </c>
      <c r="B71" s="40">
        <v>40357</v>
      </c>
      <c r="C71" s="3" t="s">
        <v>45</v>
      </c>
      <c r="D71" s="3" t="s">
        <v>278</v>
      </c>
      <c r="E71" s="3" t="s">
        <v>891</v>
      </c>
      <c r="F71" s="3" t="s">
        <v>1121</v>
      </c>
      <c r="G71" s="3" t="s">
        <v>758</v>
      </c>
      <c r="H71" s="3" t="s">
        <v>1120</v>
      </c>
    </row>
    <row r="72" spans="1:8">
      <c r="A72" s="40">
        <v>39001</v>
      </c>
      <c r="B72" s="40">
        <v>39002</v>
      </c>
      <c r="C72" s="3" t="s">
        <v>46</v>
      </c>
      <c r="D72" s="3" t="s">
        <v>279</v>
      </c>
      <c r="E72" s="3" t="s">
        <v>785</v>
      </c>
      <c r="F72" s="3" t="s">
        <v>916</v>
      </c>
      <c r="G72" s="3" t="s">
        <v>770</v>
      </c>
      <c r="H72" s="3" t="s">
        <v>1157</v>
      </c>
    </row>
    <row r="73" spans="1:8">
      <c r="A73" s="40">
        <v>39006</v>
      </c>
      <c r="B73" s="40">
        <v>39007</v>
      </c>
      <c r="C73" s="3" t="s">
        <v>46</v>
      </c>
      <c r="D73" s="3" t="s">
        <v>280</v>
      </c>
      <c r="E73" s="3" t="s">
        <v>785</v>
      </c>
      <c r="F73" s="3" t="s">
        <v>917</v>
      </c>
      <c r="G73" s="3" t="s">
        <v>770</v>
      </c>
      <c r="H73" s="3" t="s">
        <v>1158</v>
      </c>
    </row>
    <row r="74" spans="1:8">
      <c r="A74" s="40">
        <v>39034</v>
      </c>
      <c r="B74" s="40">
        <v>39035</v>
      </c>
      <c r="C74" s="3" t="s">
        <v>46</v>
      </c>
      <c r="D74" s="3" t="s">
        <v>281</v>
      </c>
      <c r="E74" s="3" t="s">
        <v>785</v>
      </c>
      <c r="F74" s="3" t="s">
        <v>918</v>
      </c>
      <c r="G74" s="3" t="s">
        <v>841</v>
      </c>
      <c r="H74" s="3" t="s">
        <v>919</v>
      </c>
    </row>
    <row r="75" spans="1:8">
      <c r="A75" s="40">
        <v>40187</v>
      </c>
      <c r="B75" s="40">
        <v>40188</v>
      </c>
      <c r="C75" s="3" t="s">
        <v>46</v>
      </c>
      <c r="D75" s="3" t="s">
        <v>282</v>
      </c>
      <c r="E75" s="3" t="s">
        <v>764</v>
      </c>
      <c r="F75" s="3" t="s">
        <v>920</v>
      </c>
      <c r="G75" s="3" t="s">
        <v>762</v>
      </c>
      <c r="H75" s="3" t="s">
        <v>921</v>
      </c>
    </row>
    <row r="76" spans="1:8">
      <c r="A76" s="40">
        <v>40954</v>
      </c>
      <c r="B76" s="40">
        <v>40955</v>
      </c>
      <c r="C76" s="3" t="s">
        <v>46</v>
      </c>
      <c r="D76" s="3" t="s">
        <v>283</v>
      </c>
      <c r="E76" s="3" t="s">
        <v>891</v>
      </c>
      <c r="F76" s="3" t="s">
        <v>1159</v>
      </c>
      <c r="G76" s="3" t="s">
        <v>770</v>
      </c>
      <c r="H76" s="3" t="s">
        <v>1160</v>
      </c>
    </row>
    <row r="77" spans="1:8">
      <c r="A77" s="40">
        <v>39143</v>
      </c>
      <c r="B77" s="40">
        <v>39147</v>
      </c>
      <c r="C77" s="3" t="s">
        <v>47</v>
      </c>
      <c r="D77" s="3" t="s">
        <v>284</v>
      </c>
      <c r="E77" s="3" t="s">
        <v>891</v>
      </c>
      <c r="F77" s="3" t="s">
        <v>1161</v>
      </c>
      <c r="G77" s="3" t="s">
        <v>770</v>
      </c>
      <c r="H77" s="3" t="s">
        <v>1162</v>
      </c>
    </row>
    <row r="78" spans="1:8">
      <c r="A78" s="40">
        <v>41597</v>
      </c>
      <c r="B78" s="40">
        <v>41598</v>
      </c>
      <c r="C78" s="3" t="s">
        <v>48</v>
      </c>
      <c r="D78" s="3" t="s">
        <v>285</v>
      </c>
      <c r="E78" s="3" t="s">
        <v>804</v>
      </c>
      <c r="F78" s="3" t="s">
        <v>922</v>
      </c>
      <c r="G78" s="3" t="s">
        <v>770</v>
      </c>
      <c r="H78" s="3" t="s">
        <v>923</v>
      </c>
    </row>
    <row r="79" spans="1:8">
      <c r="A79" s="40">
        <v>40922</v>
      </c>
      <c r="B79" s="40">
        <v>40922</v>
      </c>
      <c r="C79" s="3" t="s">
        <v>49</v>
      </c>
      <c r="D79" s="3" t="s">
        <v>286</v>
      </c>
      <c r="E79" s="3" t="s">
        <v>785</v>
      </c>
      <c r="F79" s="3" t="s">
        <v>924</v>
      </c>
      <c r="G79" s="3" t="s">
        <v>775</v>
      </c>
      <c r="H79" s="3" t="s">
        <v>925</v>
      </c>
    </row>
    <row r="80" spans="1:8">
      <c r="A80" s="40">
        <v>36554</v>
      </c>
      <c r="B80" s="40">
        <v>36579</v>
      </c>
      <c r="C80" s="3" t="s">
        <v>50</v>
      </c>
      <c r="D80" s="3" t="s">
        <v>287</v>
      </c>
      <c r="E80" s="3" t="s">
        <v>804</v>
      </c>
      <c r="F80" s="3" t="s">
        <v>827</v>
      </c>
      <c r="G80" s="3" t="s">
        <v>758</v>
      </c>
      <c r="H80" s="3" t="s">
        <v>828</v>
      </c>
    </row>
    <row r="81" spans="1:8">
      <c r="A81" s="40">
        <v>39022</v>
      </c>
      <c r="B81" s="40">
        <v>39022</v>
      </c>
      <c r="C81" s="3" t="s">
        <v>51</v>
      </c>
      <c r="D81" s="3" t="s">
        <v>290</v>
      </c>
      <c r="E81" s="3" t="s">
        <v>873</v>
      </c>
      <c r="F81" s="3" t="s">
        <v>1016</v>
      </c>
      <c r="G81" s="3" t="s">
        <v>775</v>
      </c>
      <c r="H81" s="3" t="s">
        <v>1170</v>
      </c>
    </row>
    <row r="82" spans="1:8">
      <c r="A82" s="40">
        <v>39005</v>
      </c>
      <c r="B82" s="40">
        <v>39017</v>
      </c>
      <c r="C82" s="3" t="s">
        <v>51</v>
      </c>
      <c r="D82" s="3" t="s">
        <v>288</v>
      </c>
      <c r="E82" s="3" t="s">
        <v>873</v>
      </c>
      <c r="F82" s="3" t="s">
        <v>810</v>
      </c>
      <c r="G82" s="3" t="s">
        <v>770</v>
      </c>
      <c r="H82" s="3" t="s">
        <v>926</v>
      </c>
    </row>
    <row r="83" spans="1:8">
      <c r="A83" s="40">
        <v>39014</v>
      </c>
      <c r="B83" s="40">
        <v>39017</v>
      </c>
      <c r="C83" s="3" t="s">
        <v>51</v>
      </c>
      <c r="D83" s="3" t="s">
        <v>289</v>
      </c>
      <c r="E83" s="3" t="s">
        <v>873</v>
      </c>
      <c r="F83" s="3" t="s">
        <v>810</v>
      </c>
      <c r="G83" s="3" t="s">
        <v>770</v>
      </c>
      <c r="H83" s="3" t="s">
        <v>926</v>
      </c>
    </row>
    <row r="84" spans="1:8">
      <c r="A84" s="40">
        <v>39976</v>
      </c>
      <c r="B84" s="40">
        <v>39978</v>
      </c>
      <c r="C84" s="3" t="s">
        <v>52</v>
      </c>
      <c r="D84" s="3" t="s">
        <v>291</v>
      </c>
      <c r="E84" s="3" t="s">
        <v>785</v>
      </c>
      <c r="F84" s="3" t="s">
        <v>927</v>
      </c>
      <c r="G84" s="3" t="s">
        <v>770</v>
      </c>
      <c r="H84" s="3" t="s">
        <v>928</v>
      </c>
    </row>
    <row r="85" spans="1:8">
      <c r="A85" s="40">
        <v>39922</v>
      </c>
      <c r="B85" s="40">
        <v>39924</v>
      </c>
      <c r="C85" s="3" t="s">
        <v>53</v>
      </c>
      <c r="D85" s="3" t="s">
        <v>292</v>
      </c>
      <c r="E85" s="3" t="s">
        <v>930</v>
      </c>
      <c r="F85" s="3" t="s">
        <v>929</v>
      </c>
      <c r="G85" s="3" t="s">
        <v>762</v>
      </c>
      <c r="H85" s="3" t="s">
        <v>931</v>
      </c>
    </row>
    <row r="86" spans="1:8">
      <c r="A86" s="40">
        <v>40588</v>
      </c>
      <c r="B86" s="40">
        <v>40726</v>
      </c>
      <c r="C86" s="3" t="s">
        <v>54</v>
      </c>
      <c r="D86" s="3" t="s">
        <v>293</v>
      </c>
      <c r="E86" s="3" t="s">
        <v>932</v>
      </c>
      <c r="F86" s="3" t="s">
        <v>933</v>
      </c>
      <c r="G86" s="3" t="s">
        <v>762</v>
      </c>
      <c r="H86" s="3" t="s">
        <v>934</v>
      </c>
    </row>
    <row r="87" spans="1:8">
      <c r="A87" s="40">
        <v>41140</v>
      </c>
      <c r="B87" s="40">
        <v>41142</v>
      </c>
      <c r="C87" s="3" t="s">
        <v>55</v>
      </c>
      <c r="D87" s="3" t="s">
        <v>294</v>
      </c>
      <c r="E87" s="3" t="s">
        <v>764</v>
      </c>
      <c r="F87" s="3" t="s">
        <v>780</v>
      </c>
      <c r="G87" s="3" t="s">
        <v>770</v>
      </c>
      <c r="H87" s="3" t="s">
        <v>935</v>
      </c>
    </row>
    <row r="88" spans="1:8">
      <c r="A88" s="40">
        <v>39792</v>
      </c>
      <c r="B88" s="40">
        <v>39793</v>
      </c>
      <c r="C88" s="3" t="s">
        <v>56</v>
      </c>
      <c r="D88" s="3" t="s">
        <v>296</v>
      </c>
      <c r="E88" s="3" t="s">
        <v>936</v>
      </c>
      <c r="F88" s="3" t="s">
        <v>1171</v>
      </c>
      <c r="G88" s="3" t="s">
        <v>937</v>
      </c>
      <c r="H88" s="3" t="s">
        <v>938</v>
      </c>
    </row>
    <row r="89" spans="1:8">
      <c r="A89" s="40">
        <v>40442</v>
      </c>
      <c r="B89" s="40">
        <v>40443</v>
      </c>
      <c r="C89" s="3" t="s">
        <v>56</v>
      </c>
      <c r="D89" s="3" t="s">
        <v>295</v>
      </c>
      <c r="E89" s="3" t="s">
        <v>1123</v>
      </c>
      <c r="F89" s="3" t="s">
        <v>1122</v>
      </c>
      <c r="G89" s="3" t="s">
        <v>978</v>
      </c>
      <c r="H89" s="3" t="s">
        <v>1172</v>
      </c>
    </row>
    <row r="90" spans="1:8">
      <c r="A90" s="40">
        <v>43061</v>
      </c>
      <c r="B90" s="40">
        <v>43061</v>
      </c>
      <c r="C90" s="3" t="s">
        <v>57</v>
      </c>
      <c r="D90" s="3" t="s">
        <v>297</v>
      </c>
      <c r="E90" s="3" t="s">
        <v>939</v>
      </c>
      <c r="F90" s="3" t="s">
        <v>940</v>
      </c>
      <c r="G90" s="3" t="s">
        <v>762</v>
      </c>
      <c r="H90" s="3" t="s">
        <v>941</v>
      </c>
    </row>
    <row r="91" spans="1:8">
      <c r="A91" s="40">
        <v>39962</v>
      </c>
      <c r="B91" s="40">
        <v>40706</v>
      </c>
      <c r="C91" s="3" t="s">
        <v>58</v>
      </c>
      <c r="D91" s="3" t="s">
        <v>298</v>
      </c>
      <c r="E91" s="3" t="s">
        <v>785</v>
      </c>
      <c r="F91" s="3" t="s">
        <v>942</v>
      </c>
      <c r="G91" s="3" t="s">
        <v>770</v>
      </c>
      <c r="H91" s="3" t="s">
        <v>943</v>
      </c>
    </row>
    <row r="92" spans="1:8">
      <c r="A92" s="40">
        <v>40343</v>
      </c>
      <c r="B92" s="40">
        <v>40344</v>
      </c>
      <c r="C92" s="3" t="s">
        <v>482</v>
      </c>
      <c r="D92" s="3" t="s">
        <v>243</v>
      </c>
      <c r="E92" s="3" t="s">
        <v>824</v>
      </c>
      <c r="F92" s="3" t="s">
        <v>825</v>
      </c>
      <c r="G92" s="3" t="s">
        <v>762</v>
      </c>
      <c r="H92" s="3" t="s">
        <v>826</v>
      </c>
    </row>
    <row r="93" spans="1:8">
      <c r="A93" s="40">
        <v>38347</v>
      </c>
      <c r="B93" s="40">
        <v>38347</v>
      </c>
      <c r="C93" s="3" t="s">
        <v>59</v>
      </c>
      <c r="D93" s="3" t="s">
        <v>299</v>
      </c>
      <c r="E93" s="3" t="s">
        <v>770</v>
      </c>
      <c r="F93" s="3" t="s">
        <v>850</v>
      </c>
      <c r="G93" s="3" t="s">
        <v>770</v>
      </c>
      <c r="H93" s="3" t="s">
        <v>850</v>
      </c>
    </row>
    <row r="94" spans="1:8">
      <c r="A94" s="40">
        <v>39008</v>
      </c>
      <c r="B94" s="40">
        <v>39009</v>
      </c>
      <c r="C94" s="3" t="s">
        <v>60</v>
      </c>
      <c r="D94" s="3" t="s">
        <v>300</v>
      </c>
      <c r="E94" s="3" t="s">
        <v>804</v>
      </c>
      <c r="F94" s="3" t="s">
        <v>944</v>
      </c>
      <c r="G94" s="3" t="s">
        <v>762</v>
      </c>
      <c r="H94" s="3" t="s">
        <v>945</v>
      </c>
    </row>
    <row r="95" spans="1:8">
      <c r="A95" s="40">
        <v>39022</v>
      </c>
      <c r="B95" s="40">
        <v>39022</v>
      </c>
      <c r="C95" s="3" t="s">
        <v>60</v>
      </c>
      <c r="D95" s="3" t="s">
        <v>301</v>
      </c>
      <c r="E95" s="3" t="s">
        <v>831</v>
      </c>
      <c r="F95" s="3" t="s">
        <v>946</v>
      </c>
      <c r="G95" s="3" t="s">
        <v>802</v>
      </c>
      <c r="H95" s="3" t="s">
        <v>947</v>
      </c>
    </row>
    <row r="96" spans="1:8">
      <c r="A96" s="40">
        <v>41843</v>
      </c>
      <c r="B96" s="40">
        <v>41844</v>
      </c>
      <c r="C96" s="3" t="s">
        <v>61</v>
      </c>
      <c r="D96" s="3" t="s">
        <v>302</v>
      </c>
      <c r="E96" s="3" t="s">
        <v>949</v>
      </c>
      <c r="F96" s="3" t="s">
        <v>950</v>
      </c>
      <c r="G96" s="3" t="s">
        <v>762</v>
      </c>
      <c r="H96" s="3" t="s">
        <v>948</v>
      </c>
    </row>
    <row r="97" spans="1:8">
      <c r="A97" s="40">
        <v>39980</v>
      </c>
      <c r="B97" s="40">
        <v>39981</v>
      </c>
      <c r="C97" s="3" t="s">
        <v>62</v>
      </c>
      <c r="D97" s="3" t="s">
        <v>303</v>
      </c>
      <c r="E97" s="3" t="s">
        <v>951</v>
      </c>
      <c r="F97" s="3" t="s">
        <v>952</v>
      </c>
      <c r="G97" s="3" t="s">
        <v>802</v>
      </c>
      <c r="H97" s="3" t="s">
        <v>1173</v>
      </c>
    </row>
    <row r="98" spans="1:8">
      <c r="A98" s="40">
        <v>40456</v>
      </c>
      <c r="B98" s="40">
        <v>41094</v>
      </c>
      <c r="C98" s="3" t="s">
        <v>63</v>
      </c>
      <c r="D98" s="3" t="s">
        <v>304</v>
      </c>
      <c r="E98" s="3" t="s">
        <v>954</v>
      </c>
      <c r="F98" s="3" t="s">
        <v>953</v>
      </c>
      <c r="G98" s="3" t="s">
        <v>762</v>
      </c>
      <c r="H98" s="3" t="s">
        <v>955</v>
      </c>
    </row>
    <row r="99" spans="1:8">
      <c r="A99" s="40">
        <v>38777</v>
      </c>
      <c r="B99" s="40">
        <v>38784</v>
      </c>
      <c r="C99" s="3" t="s">
        <v>66</v>
      </c>
      <c r="D99" s="3" t="s">
        <v>305</v>
      </c>
      <c r="E99" s="3" t="s">
        <v>855</v>
      </c>
      <c r="F99" s="3" t="s">
        <v>854</v>
      </c>
      <c r="G99" s="3" t="s">
        <v>770</v>
      </c>
      <c r="H99" s="3" t="s">
        <v>856</v>
      </c>
    </row>
    <row r="100" spans="1:8">
      <c r="A100" s="40">
        <v>43060</v>
      </c>
      <c r="B100" s="40">
        <v>43060</v>
      </c>
      <c r="C100" s="3" t="s">
        <v>66</v>
      </c>
      <c r="D100" s="3" t="s">
        <v>306</v>
      </c>
      <c r="E100" s="3" t="s">
        <v>762</v>
      </c>
      <c r="F100" s="3" t="s">
        <v>1174</v>
      </c>
      <c r="G100" s="3" t="s">
        <v>762</v>
      </c>
      <c r="H100" s="3" t="s">
        <v>1174</v>
      </c>
    </row>
    <row r="101" spans="1:8">
      <c r="A101" s="40">
        <v>39835</v>
      </c>
      <c r="B101" s="40">
        <v>39854</v>
      </c>
      <c r="C101" s="3" t="s">
        <v>64</v>
      </c>
      <c r="D101" s="3" t="s">
        <v>307</v>
      </c>
      <c r="E101" s="3" t="s">
        <v>824</v>
      </c>
      <c r="F101" s="3" t="s">
        <v>1124</v>
      </c>
      <c r="G101" s="3" t="s">
        <v>762</v>
      </c>
      <c r="H101" s="3" t="s">
        <v>1125</v>
      </c>
    </row>
    <row r="102" spans="1:8">
      <c r="A102" s="40">
        <v>38681</v>
      </c>
      <c r="B102" s="40">
        <v>38681</v>
      </c>
      <c r="C102" s="3" t="s">
        <v>65</v>
      </c>
      <c r="D102" s="3" t="s">
        <v>308</v>
      </c>
      <c r="E102" s="3" t="s">
        <v>775</v>
      </c>
      <c r="F102" s="3" t="s">
        <v>956</v>
      </c>
      <c r="G102" s="3" t="s">
        <v>775</v>
      </c>
      <c r="H102" s="3" t="s">
        <v>956</v>
      </c>
    </row>
    <row r="103" spans="1:8">
      <c r="A103" s="40">
        <v>40343</v>
      </c>
      <c r="B103" s="40">
        <v>40344</v>
      </c>
      <c r="C103" s="3" t="s">
        <v>207</v>
      </c>
      <c r="D103" s="3" t="s">
        <v>243</v>
      </c>
      <c r="E103" s="3" t="s">
        <v>824</v>
      </c>
      <c r="F103" s="3" t="s">
        <v>825</v>
      </c>
      <c r="G103" s="3" t="s">
        <v>762</v>
      </c>
      <c r="H103" s="3" t="s">
        <v>826</v>
      </c>
    </row>
    <row r="104" spans="1:8">
      <c r="A104" s="40">
        <v>37701</v>
      </c>
      <c r="B104" s="40">
        <v>37702</v>
      </c>
      <c r="C104" s="3" t="s">
        <v>67</v>
      </c>
      <c r="D104" s="3" t="s">
        <v>309</v>
      </c>
      <c r="E104" s="3" t="s">
        <v>804</v>
      </c>
      <c r="F104" s="3" t="s">
        <v>834</v>
      </c>
      <c r="G104" s="3" t="s">
        <v>770</v>
      </c>
      <c r="H104" s="3" t="s">
        <v>835</v>
      </c>
    </row>
    <row r="105" spans="1:8">
      <c r="A105" s="40">
        <v>37945</v>
      </c>
      <c r="B105" s="40">
        <v>37979</v>
      </c>
      <c r="C105" s="3" t="s">
        <v>67</v>
      </c>
      <c r="D105" s="3" t="s">
        <v>310</v>
      </c>
      <c r="E105" s="3" t="s">
        <v>804</v>
      </c>
      <c r="F105" s="3" t="s">
        <v>1175</v>
      </c>
      <c r="G105" s="3" t="s">
        <v>770</v>
      </c>
      <c r="H105" s="3" t="s">
        <v>843</v>
      </c>
    </row>
    <row r="106" spans="1:8">
      <c r="A106" s="40">
        <v>38529</v>
      </c>
      <c r="B106" s="40">
        <v>38529</v>
      </c>
      <c r="C106" s="3" t="s">
        <v>68</v>
      </c>
      <c r="D106" s="3" t="s">
        <v>311</v>
      </c>
      <c r="E106" s="3" t="s">
        <v>841</v>
      </c>
      <c r="F106" s="3" t="s">
        <v>957</v>
      </c>
      <c r="G106" s="3" t="s">
        <v>841</v>
      </c>
      <c r="H106" s="3" t="s">
        <v>957</v>
      </c>
    </row>
    <row r="107" spans="1:8">
      <c r="A107" s="40">
        <v>38953</v>
      </c>
      <c r="B107" s="40">
        <v>38955</v>
      </c>
      <c r="C107" s="3" t="s">
        <v>68</v>
      </c>
      <c r="D107" s="3" t="s">
        <v>312</v>
      </c>
      <c r="E107" s="3" t="s">
        <v>951</v>
      </c>
      <c r="F107" s="3" t="s">
        <v>958</v>
      </c>
      <c r="G107" s="3" t="s">
        <v>770</v>
      </c>
      <c r="H107" s="3" t="s">
        <v>959</v>
      </c>
    </row>
    <row r="108" spans="1:8">
      <c r="A108" s="40">
        <v>43757</v>
      </c>
      <c r="B108" s="40">
        <v>43760</v>
      </c>
      <c r="C108" s="3" t="s">
        <v>199</v>
      </c>
      <c r="D108" s="3" t="s">
        <v>313</v>
      </c>
      <c r="E108" s="3" t="s">
        <v>960</v>
      </c>
      <c r="F108" s="3" t="s">
        <v>1176</v>
      </c>
      <c r="G108" s="3" t="s">
        <v>762</v>
      </c>
      <c r="H108" s="3" t="s">
        <v>1177</v>
      </c>
    </row>
    <row r="109" spans="1:8">
      <c r="A109" s="40">
        <v>43324</v>
      </c>
      <c r="B109" s="40">
        <v>43342</v>
      </c>
      <c r="C109" s="3" t="s">
        <v>69</v>
      </c>
      <c r="D109" s="3" t="s">
        <v>314</v>
      </c>
      <c r="E109" s="3" t="s">
        <v>961</v>
      </c>
      <c r="F109" s="3" t="s">
        <v>1178</v>
      </c>
      <c r="G109" s="3" t="s">
        <v>762</v>
      </c>
      <c r="H109" s="3" t="s">
        <v>1179</v>
      </c>
    </row>
    <row r="110" spans="1:8">
      <c r="A110" s="40">
        <v>38852</v>
      </c>
      <c r="B110" s="40">
        <v>38890</v>
      </c>
      <c r="C110" s="3" t="s">
        <v>70</v>
      </c>
      <c r="D110" s="3" t="s">
        <v>315</v>
      </c>
      <c r="E110" s="3" t="s">
        <v>785</v>
      </c>
      <c r="F110" s="3" t="s">
        <v>862</v>
      </c>
      <c r="G110" s="3" t="s">
        <v>770</v>
      </c>
      <c r="H110" s="3" t="s">
        <v>863</v>
      </c>
    </row>
    <row r="111" spans="1:8">
      <c r="A111" s="40">
        <v>41140</v>
      </c>
      <c r="B111" s="40">
        <v>41141</v>
      </c>
      <c r="C111" s="3" t="s">
        <v>71</v>
      </c>
      <c r="D111" s="3" t="s">
        <v>316</v>
      </c>
      <c r="E111" s="3" t="s">
        <v>764</v>
      </c>
      <c r="F111" s="3" t="s">
        <v>780</v>
      </c>
      <c r="G111" s="3" t="s">
        <v>802</v>
      </c>
      <c r="H111" s="3" t="s">
        <v>962</v>
      </c>
    </row>
    <row r="112" spans="1:8">
      <c r="A112" s="40">
        <v>39321</v>
      </c>
      <c r="B112" s="40">
        <v>39322</v>
      </c>
      <c r="C112" s="3" t="s">
        <v>72</v>
      </c>
      <c r="D112" s="3" t="s">
        <v>317</v>
      </c>
      <c r="E112" s="3" t="s">
        <v>804</v>
      </c>
      <c r="F112" s="3" t="s">
        <v>963</v>
      </c>
      <c r="G112" s="3" t="s">
        <v>762</v>
      </c>
      <c r="H112" s="3" t="s">
        <v>964</v>
      </c>
    </row>
    <row r="113" spans="1:8">
      <c r="A113" s="40">
        <v>39590</v>
      </c>
      <c r="B113" s="40">
        <v>39611</v>
      </c>
      <c r="C113" s="3" t="s">
        <v>73</v>
      </c>
      <c r="D113" s="3" t="s">
        <v>319</v>
      </c>
      <c r="E113" s="3" t="s">
        <v>785</v>
      </c>
      <c r="F113" s="3" t="s">
        <v>965</v>
      </c>
      <c r="G113" s="3" t="s">
        <v>770</v>
      </c>
      <c r="H113" s="3" t="s">
        <v>966</v>
      </c>
    </row>
    <row r="114" spans="1:8">
      <c r="A114" s="40">
        <v>40851</v>
      </c>
      <c r="B114" s="40">
        <v>41123</v>
      </c>
      <c r="C114" s="3" t="s">
        <v>73</v>
      </c>
      <c r="D114" s="3" t="s">
        <v>318</v>
      </c>
      <c r="E114" s="3" t="s">
        <v>967</v>
      </c>
      <c r="F114" s="3" t="s">
        <v>968</v>
      </c>
      <c r="G114" s="3" t="s">
        <v>762</v>
      </c>
      <c r="H114" s="3" t="s">
        <v>969</v>
      </c>
    </row>
    <row r="115" spans="1:8">
      <c r="A115" s="40">
        <v>39282</v>
      </c>
      <c r="B115" s="40">
        <v>39290</v>
      </c>
      <c r="C115" s="3" t="s">
        <v>74</v>
      </c>
      <c r="D115" s="3" t="s">
        <v>320</v>
      </c>
      <c r="E115" s="3" t="s">
        <v>804</v>
      </c>
      <c r="F115" s="3" t="s">
        <v>970</v>
      </c>
      <c r="G115" s="3" t="s">
        <v>770</v>
      </c>
      <c r="H115" s="3" t="s">
        <v>971</v>
      </c>
    </row>
    <row r="116" spans="1:8">
      <c r="A116" s="40">
        <v>40116</v>
      </c>
      <c r="B116" s="40">
        <v>40116</v>
      </c>
      <c r="C116" s="3" t="s">
        <v>75</v>
      </c>
      <c r="D116" s="3" t="s">
        <v>321</v>
      </c>
      <c r="E116" s="3" t="s">
        <v>785</v>
      </c>
      <c r="F116" s="3" t="s">
        <v>972</v>
      </c>
      <c r="G116" s="3" t="s">
        <v>770</v>
      </c>
      <c r="H116" s="3" t="s">
        <v>973</v>
      </c>
    </row>
    <row r="117" spans="1:8">
      <c r="A117" s="40">
        <v>38988</v>
      </c>
      <c r="B117" s="40">
        <v>38988</v>
      </c>
      <c r="C117" s="3" t="s">
        <v>76</v>
      </c>
      <c r="D117" s="3" t="s">
        <v>322</v>
      </c>
      <c r="E117" s="3" t="s">
        <v>974</v>
      </c>
      <c r="F117" s="3" t="s">
        <v>975</v>
      </c>
      <c r="G117" s="3" t="s">
        <v>974</v>
      </c>
      <c r="H117" s="3" t="s">
        <v>975</v>
      </c>
    </row>
    <row r="118" spans="1:8">
      <c r="A118" s="40">
        <v>40316</v>
      </c>
      <c r="B118" s="40">
        <v>40316</v>
      </c>
      <c r="C118" s="3" t="s">
        <v>77</v>
      </c>
      <c r="D118" s="3" t="s">
        <v>323</v>
      </c>
      <c r="E118" s="3" t="s">
        <v>976</v>
      </c>
      <c r="F118" s="3" t="s">
        <v>977</v>
      </c>
      <c r="G118" s="3" t="s">
        <v>978</v>
      </c>
      <c r="H118" s="3" t="s">
        <v>1180</v>
      </c>
    </row>
    <row r="119" spans="1:8">
      <c r="A119" s="40">
        <v>43420</v>
      </c>
      <c r="B119" s="40">
        <v>43420</v>
      </c>
      <c r="C119" s="3" t="s">
        <v>78</v>
      </c>
      <c r="D119" s="3" t="s">
        <v>324</v>
      </c>
      <c r="E119" s="3" t="s">
        <v>979</v>
      </c>
      <c r="F119" s="3" t="s">
        <v>1181</v>
      </c>
      <c r="G119" s="3" t="s">
        <v>762</v>
      </c>
      <c r="H119" s="3" t="s">
        <v>980</v>
      </c>
    </row>
    <row r="120" spans="1:8">
      <c r="A120" s="40">
        <v>41923</v>
      </c>
      <c r="B120" s="40">
        <v>41923</v>
      </c>
      <c r="C120" s="3" t="s">
        <v>79</v>
      </c>
      <c r="D120" s="3" t="s">
        <v>325</v>
      </c>
      <c r="E120" s="3" t="s">
        <v>981</v>
      </c>
      <c r="F120" s="3" t="s">
        <v>982</v>
      </c>
      <c r="G120" s="3" t="s">
        <v>770</v>
      </c>
      <c r="H120" s="3" t="s">
        <v>983</v>
      </c>
    </row>
    <row r="121" spans="1:8">
      <c r="A121" s="40">
        <v>41058</v>
      </c>
      <c r="B121" s="40">
        <v>41059</v>
      </c>
      <c r="C121" s="3" t="s">
        <v>80</v>
      </c>
      <c r="D121" s="3" t="s">
        <v>326</v>
      </c>
      <c r="E121" s="3" t="s">
        <v>891</v>
      </c>
      <c r="F121" s="3" t="s">
        <v>984</v>
      </c>
      <c r="G121" s="3" t="s">
        <v>762</v>
      </c>
      <c r="H121" s="3" t="s">
        <v>985</v>
      </c>
    </row>
    <row r="122" spans="1:8">
      <c r="A122" s="40">
        <v>41722</v>
      </c>
      <c r="B122" s="40">
        <v>41723</v>
      </c>
      <c r="C122" s="3" t="s">
        <v>1225</v>
      </c>
      <c r="D122" s="3" t="s">
        <v>327</v>
      </c>
      <c r="E122" s="3" t="s">
        <v>1217</v>
      </c>
      <c r="F122" s="3" t="s">
        <v>986</v>
      </c>
      <c r="G122" s="3" t="s">
        <v>762</v>
      </c>
      <c r="H122" s="3" t="s">
        <v>1182</v>
      </c>
    </row>
    <row r="123" spans="1:8">
      <c r="A123" s="40">
        <v>42481</v>
      </c>
      <c r="B123" s="40">
        <v>42491</v>
      </c>
      <c r="C123" s="3" t="s">
        <v>206</v>
      </c>
      <c r="D123" s="3" t="s">
        <v>328</v>
      </c>
      <c r="E123" s="3" t="s">
        <v>891</v>
      </c>
      <c r="F123" s="3" t="s">
        <v>987</v>
      </c>
      <c r="G123" s="3" t="s">
        <v>770</v>
      </c>
      <c r="H123" s="3" t="s">
        <v>988</v>
      </c>
    </row>
    <row r="124" spans="1:8">
      <c r="A124" s="40">
        <v>39436</v>
      </c>
      <c r="B124" s="40">
        <v>39436</v>
      </c>
      <c r="C124" s="3" t="s">
        <v>81</v>
      </c>
      <c r="D124" s="3" t="s">
        <v>329</v>
      </c>
      <c r="E124" s="3" t="s">
        <v>891</v>
      </c>
      <c r="F124" s="3" t="s">
        <v>989</v>
      </c>
      <c r="G124" s="3" t="s">
        <v>770</v>
      </c>
      <c r="H124" s="3" t="s">
        <v>990</v>
      </c>
    </row>
    <row r="125" spans="1:8">
      <c r="A125" s="40">
        <v>43522</v>
      </c>
      <c r="B125" s="40">
        <v>43522</v>
      </c>
      <c r="C125" s="3" t="s">
        <v>198</v>
      </c>
      <c r="D125" s="3" t="s">
        <v>330</v>
      </c>
      <c r="E125" s="3" t="s">
        <v>936</v>
      </c>
      <c r="F125" s="3" t="s">
        <v>1183</v>
      </c>
      <c r="G125" s="3" t="s">
        <v>762</v>
      </c>
      <c r="H125" s="3" t="s">
        <v>1200</v>
      </c>
    </row>
    <row r="126" spans="1:8">
      <c r="A126" s="40">
        <v>40151</v>
      </c>
      <c r="B126" s="40">
        <v>40153</v>
      </c>
      <c r="C126" s="3" t="s">
        <v>82</v>
      </c>
      <c r="D126" s="3" t="s">
        <v>331</v>
      </c>
      <c r="E126" s="3" t="s">
        <v>764</v>
      </c>
      <c r="F126" s="3" t="s">
        <v>991</v>
      </c>
      <c r="G126" s="3" t="s">
        <v>762</v>
      </c>
      <c r="H126" s="3" t="s">
        <v>992</v>
      </c>
    </row>
    <row r="127" spans="1:8">
      <c r="A127" s="40">
        <v>39884</v>
      </c>
      <c r="B127" s="40">
        <v>39885</v>
      </c>
      <c r="C127" s="3" t="s">
        <v>83</v>
      </c>
      <c r="D127" s="3" t="s">
        <v>332</v>
      </c>
      <c r="E127" s="3" t="s">
        <v>993</v>
      </c>
      <c r="F127" s="3" t="s">
        <v>994</v>
      </c>
      <c r="G127" s="3" t="s">
        <v>762</v>
      </c>
      <c r="H127" s="3" t="s">
        <v>995</v>
      </c>
    </row>
    <row r="128" spans="1:8">
      <c r="A128" s="40">
        <v>40343</v>
      </c>
      <c r="B128" s="40">
        <v>40344</v>
      </c>
      <c r="C128" s="3" t="s">
        <v>208</v>
      </c>
      <c r="D128" s="3" t="s">
        <v>333</v>
      </c>
      <c r="E128" s="3" t="s">
        <v>824</v>
      </c>
      <c r="F128" s="3" t="s">
        <v>825</v>
      </c>
      <c r="G128" s="3" t="s">
        <v>762</v>
      </c>
      <c r="H128" s="3" t="s">
        <v>826</v>
      </c>
    </row>
    <row r="129" spans="1:8">
      <c r="A129" s="40">
        <v>41266</v>
      </c>
      <c r="B129" s="40">
        <v>41997</v>
      </c>
      <c r="C129" s="3" t="s">
        <v>84</v>
      </c>
      <c r="D129" s="3" t="s">
        <v>334</v>
      </c>
      <c r="E129" s="3" t="s">
        <v>764</v>
      </c>
      <c r="F129" s="3" t="s">
        <v>996</v>
      </c>
      <c r="G129" s="3" t="s">
        <v>770</v>
      </c>
      <c r="H129" s="3" t="s">
        <v>810</v>
      </c>
    </row>
    <row r="130" spans="1:8">
      <c r="A130" s="40">
        <v>43762</v>
      </c>
      <c r="B130" s="40">
        <v>43762</v>
      </c>
      <c r="C130" s="3" t="s">
        <v>738</v>
      </c>
      <c r="D130" s="3" t="s">
        <v>335</v>
      </c>
      <c r="E130" s="3" t="s">
        <v>997</v>
      </c>
      <c r="F130" s="3" t="s">
        <v>1199</v>
      </c>
      <c r="G130" s="3" t="s">
        <v>762</v>
      </c>
      <c r="H130" s="3" t="s">
        <v>998</v>
      </c>
    </row>
    <row r="131" spans="1:8">
      <c r="A131" s="40">
        <v>40936</v>
      </c>
      <c r="B131" s="40">
        <v>40936</v>
      </c>
      <c r="C131" s="3" t="s">
        <v>85</v>
      </c>
      <c r="D131" s="3" t="s">
        <v>336</v>
      </c>
      <c r="E131" s="3" t="s">
        <v>762</v>
      </c>
      <c r="F131" s="3" t="s">
        <v>999</v>
      </c>
      <c r="G131" s="3" t="s">
        <v>762</v>
      </c>
      <c r="H131" s="3" t="s">
        <v>999</v>
      </c>
    </row>
    <row r="132" spans="1:8">
      <c r="A132" s="40">
        <v>41140</v>
      </c>
      <c r="B132" s="40">
        <v>41141</v>
      </c>
      <c r="C132" s="3" t="s">
        <v>85</v>
      </c>
      <c r="D132" s="3" t="s">
        <v>337</v>
      </c>
      <c r="E132" s="3" t="s">
        <v>764</v>
      </c>
      <c r="F132" s="3" t="s">
        <v>780</v>
      </c>
      <c r="G132" s="3" t="s">
        <v>802</v>
      </c>
      <c r="H132" s="3" t="s">
        <v>962</v>
      </c>
    </row>
    <row r="133" spans="1:8">
      <c r="A133" s="40">
        <v>41754</v>
      </c>
      <c r="B133" s="40">
        <v>41755</v>
      </c>
      <c r="C133" s="3" t="s">
        <v>85</v>
      </c>
      <c r="D133" s="3" t="s">
        <v>338</v>
      </c>
      <c r="E133" s="3" t="s">
        <v>936</v>
      </c>
      <c r="F133" s="3" t="s">
        <v>1000</v>
      </c>
      <c r="G133" s="3" t="s">
        <v>762</v>
      </c>
      <c r="H133" s="3" t="s">
        <v>1001</v>
      </c>
    </row>
    <row r="134" spans="1:8">
      <c r="A134" s="40">
        <v>42250</v>
      </c>
      <c r="B134" s="40">
        <v>42251</v>
      </c>
      <c r="C134" s="3" t="s">
        <v>197</v>
      </c>
      <c r="D134" s="3" t="s">
        <v>339</v>
      </c>
      <c r="E134" s="3" t="s">
        <v>1126</v>
      </c>
      <c r="F134" s="3" t="s">
        <v>1127</v>
      </c>
      <c r="G134" s="3" t="s">
        <v>762</v>
      </c>
      <c r="H134" s="3" t="s">
        <v>1002</v>
      </c>
    </row>
    <row r="135" spans="1:8">
      <c r="A135" s="40">
        <v>41284</v>
      </c>
      <c r="B135" s="40">
        <v>41359</v>
      </c>
      <c r="C135" s="3" t="s">
        <v>86</v>
      </c>
      <c r="D135" s="3" t="s">
        <v>340</v>
      </c>
      <c r="E135" s="3" t="s">
        <v>1003</v>
      </c>
      <c r="F135" s="3" t="s">
        <v>1198</v>
      </c>
      <c r="G135" s="3" t="s">
        <v>770</v>
      </c>
      <c r="H135" s="3" t="s">
        <v>1004</v>
      </c>
    </row>
    <row r="136" spans="1:8">
      <c r="A136" s="40">
        <v>40116</v>
      </c>
      <c r="B136" s="40">
        <v>40116</v>
      </c>
      <c r="C136" s="3" t="s">
        <v>87</v>
      </c>
      <c r="D136" s="3" t="s">
        <v>341</v>
      </c>
      <c r="E136" s="3" t="s">
        <v>1005</v>
      </c>
      <c r="F136" s="3" t="s">
        <v>1006</v>
      </c>
      <c r="G136" s="3" t="s">
        <v>762</v>
      </c>
      <c r="H136" s="3" t="s">
        <v>1163</v>
      </c>
    </row>
    <row r="137" spans="1:8">
      <c r="A137" s="40">
        <v>43120</v>
      </c>
      <c r="B137" s="40">
        <v>43121</v>
      </c>
      <c r="C137" s="3" t="s">
        <v>88</v>
      </c>
      <c r="D137" s="3" t="s">
        <v>342</v>
      </c>
      <c r="E137" s="3" t="s">
        <v>1007</v>
      </c>
      <c r="F137" s="3" t="s">
        <v>1197</v>
      </c>
      <c r="G137" s="3" t="s">
        <v>762</v>
      </c>
      <c r="H137" s="3" t="s">
        <v>1008</v>
      </c>
    </row>
    <row r="138" spans="1:8">
      <c r="A138" s="40">
        <v>38841</v>
      </c>
      <c r="B138" s="40">
        <v>38842</v>
      </c>
      <c r="C138" s="3" t="s">
        <v>189</v>
      </c>
      <c r="D138" s="3" t="s">
        <v>343</v>
      </c>
      <c r="E138" s="3" t="s">
        <v>785</v>
      </c>
      <c r="F138" s="3" t="s">
        <v>860</v>
      </c>
      <c r="G138" s="3" t="s">
        <v>758</v>
      </c>
      <c r="H138" s="3" t="s">
        <v>861</v>
      </c>
    </row>
    <row r="139" spans="1:8">
      <c r="A139" s="40">
        <v>43130</v>
      </c>
      <c r="B139" s="40">
        <v>43130</v>
      </c>
      <c r="C139" s="3" t="s">
        <v>203</v>
      </c>
      <c r="D139" s="3" t="s">
        <v>344</v>
      </c>
      <c r="E139" s="3" t="s">
        <v>1010</v>
      </c>
      <c r="F139" s="3" t="s">
        <v>1009</v>
      </c>
      <c r="G139" s="3" t="s">
        <v>762</v>
      </c>
      <c r="H139" s="3" t="s">
        <v>1196</v>
      </c>
    </row>
    <row r="140" spans="1:8">
      <c r="A140" s="40">
        <v>37468</v>
      </c>
      <c r="B140" s="40">
        <v>37475</v>
      </c>
      <c r="C140" s="3" t="s">
        <v>89</v>
      </c>
      <c r="D140" s="3" t="s">
        <v>345</v>
      </c>
      <c r="E140" s="3" t="s">
        <v>1129</v>
      </c>
      <c r="F140" s="3" t="s">
        <v>1128</v>
      </c>
      <c r="G140" s="3" t="s">
        <v>770</v>
      </c>
      <c r="H140" s="3" t="s">
        <v>833</v>
      </c>
    </row>
    <row r="141" spans="1:8">
      <c r="A141" s="40">
        <v>40926</v>
      </c>
      <c r="B141" s="40">
        <v>40926</v>
      </c>
      <c r="C141" s="3" t="s">
        <v>90</v>
      </c>
      <c r="D141" s="3" t="s">
        <v>1226</v>
      </c>
      <c r="E141" s="3" t="s">
        <v>804</v>
      </c>
      <c r="F141" s="3" t="s">
        <v>1011</v>
      </c>
      <c r="G141" s="3" t="s">
        <v>770</v>
      </c>
      <c r="H141" s="3" t="s">
        <v>1012</v>
      </c>
    </row>
    <row r="142" spans="1:8">
      <c r="A142" s="40">
        <v>41481</v>
      </c>
      <c r="B142" s="40">
        <v>41482</v>
      </c>
      <c r="C142" s="3" t="s">
        <v>91</v>
      </c>
      <c r="D142" s="3" t="s">
        <v>346</v>
      </c>
      <c r="E142" s="3" t="s">
        <v>764</v>
      </c>
      <c r="F142" s="3" t="s">
        <v>1013</v>
      </c>
      <c r="G142" s="3" t="s">
        <v>762</v>
      </c>
      <c r="H142" s="3" t="s">
        <v>1014</v>
      </c>
    </row>
    <row r="143" spans="1:8">
      <c r="A143" s="40">
        <v>39142</v>
      </c>
      <c r="B143" s="40">
        <v>39142</v>
      </c>
      <c r="C143" s="3" t="s">
        <v>92</v>
      </c>
      <c r="D143" s="3" t="s">
        <v>347</v>
      </c>
      <c r="E143" s="3" t="s">
        <v>873</v>
      </c>
      <c r="F143" s="3" t="s">
        <v>1015</v>
      </c>
      <c r="G143" s="3" t="s">
        <v>770</v>
      </c>
      <c r="H143" s="3" t="s">
        <v>1017</v>
      </c>
    </row>
    <row r="144" spans="1:8">
      <c r="A144" s="40">
        <v>38515</v>
      </c>
      <c r="B144" s="40">
        <v>38518</v>
      </c>
      <c r="C144" s="3" t="s">
        <v>93</v>
      </c>
      <c r="D144" s="3" t="s">
        <v>348</v>
      </c>
      <c r="E144" s="3" t="s">
        <v>895</v>
      </c>
      <c r="F144" s="3" t="s">
        <v>1195</v>
      </c>
      <c r="G144" s="3" t="s">
        <v>762</v>
      </c>
      <c r="H144" s="3" t="s">
        <v>853</v>
      </c>
    </row>
    <row r="145" spans="1:8">
      <c r="A145" s="40">
        <v>43070</v>
      </c>
      <c r="B145" s="40">
        <v>43071</v>
      </c>
      <c r="C145" s="3" t="s">
        <v>94</v>
      </c>
      <c r="D145" s="3" t="s">
        <v>350</v>
      </c>
      <c r="E145" s="3" t="s">
        <v>939</v>
      </c>
      <c r="F145" s="3" t="s">
        <v>1194</v>
      </c>
      <c r="G145" s="3" t="s">
        <v>762</v>
      </c>
      <c r="H145" s="3" t="s">
        <v>1018</v>
      </c>
    </row>
    <row r="146" spans="1:8">
      <c r="A146" s="40">
        <v>41989</v>
      </c>
      <c r="B146" s="40">
        <v>41989</v>
      </c>
      <c r="C146" s="3" t="s">
        <v>94</v>
      </c>
      <c r="D146" s="3" t="s">
        <v>349</v>
      </c>
      <c r="E146" s="3" t="s">
        <v>1019</v>
      </c>
      <c r="F146" s="3" t="s">
        <v>1193</v>
      </c>
      <c r="G146" s="3" t="s">
        <v>1020</v>
      </c>
      <c r="H146" s="3" t="s">
        <v>1021</v>
      </c>
    </row>
    <row r="147" spans="1:8">
      <c r="A147" s="40">
        <v>43738</v>
      </c>
      <c r="B147" s="40">
        <v>43783</v>
      </c>
      <c r="C147" s="3" t="s">
        <v>200</v>
      </c>
      <c r="D147" s="3" t="s">
        <v>351</v>
      </c>
      <c r="E147" s="3" t="s">
        <v>1217</v>
      </c>
      <c r="F147" s="3" t="s">
        <v>1022</v>
      </c>
      <c r="G147" s="3" t="s">
        <v>762</v>
      </c>
      <c r="H147" s="3" t="s">
        <v>777</v>
      </c>
    </row>
    <row r="148" spans="1:8">
      <c r="A148" s="40">
        <v>43067</v>
      </c>
      <c r="B148" s="40">
        <v>43434</v>
      </c>
      <c r="C148" s="3" t="s">
        <v>204</v>
      </c>
      <c r="D148" s="3" t="s">
        <v>352</v>
      </c>
      <c r="E148" s="3" t="s">
        <v>981</v>
      </c>
      <c r="F148" s="3" t="s">
        <v>1192</v>
      </c>
      <c r="G148" s="3" t="s">
        <v>762</v>
      </c>
      <c r="H148" s="3" t="s">
        <v>1023</v>
      </c>
    </row>
    <row r="149" spans="1:8">
      <c r="A149" s="40">
        <v>38994</v>
      </c>
      <c r="B149" s="40">
        <v>39015</v>
      </c>
      <c r="C149" s="3" t="s">
        <v>95</v>
      </c>
      <c r="D149" s="3" t="s">
        <v>353</v>
      </c>
      <c r="E149" s="3" t="s">
        <v>811</v>
      </c>
      <c r="F149" s="3" t="s">
        <v>1191</v>
      </c>
      <c r="G149" s="3" t="s">
        <v>762</v>
      </c>
      <c r="H149" s="3" t="s">
        <v>1024</v>
      </c>
    </row>
    <row r="150" spans="1:8">
      <c r="A150" s="40">
        <v>39015</v>
      </c>
      <c r="B150" s="40">
        <v>39015</v>
      </c>
      <c r="C150" s="3" t="s">
        <v>95</v>
      </c>
      <c r="D150" s="3" t="s">
        <v>354</v>
      </c>
      <c r="E150" s="3" t="s">
        <v>891</v>
      </c>
      <c r="F150" s="3" t="s">
        <v>1025</v>
      </c>
      <c r="G150" s="3" t="s">
        <v>770</v>
      </c>
      <c r="H150" s="3" t="s">
        <v>1026</v>
      </c>
    </row>
    <row r="151" spans="1:8">
      <c r="A151" s="40">
        <v>39192</v>
      </c>
      <c r="B151" s="40">
        <v>39193</v>
      </c>
      <c r="C151" s="3" t="s">
        <v>95</v>
      </c>
      <c r="D151" s="3" t="s">
        <v>355</v>
      </c>
      <c r="E151" s="3" t="s">
        <v>804</v>
      </c>
      <c r="F151" s="3" t="s">
        <v>1027</v>
      </c>
      <c r="G151" s="3" t="s">
        <v>762</v>
      </c>
      <c r="H151" s="3" t="s">
        <v>1028</v>
      </c>
    </row>
    <row r="152" spans="1:8">
      <c r="A152" s="40">
        <v>37732</v>
      </c>
      <c r="B152" s="40">
        <v>37733</v>
      </c>
      <c r="C152" s="3" t="s">
        <v>96</v>
      </c>
      <c r="D152" s="3" t="s">
        <v>356</v>
      </c>
      <c r="E152" s="3" t="s">
        <v>837</v>
      </c>
      <c r="F152" s="3" t="s">
        <v>836</v>
      </c>
      <c r="G152" s="3" t="s">
        <v>762</v>
      </c>
      <c r="H152" s="3" t="s">
        <v>838</v>
      </c>
    </row>
    <row r="153" spans="1:8">
      <c r="A153" s="40">
        <v>39147</v>
      </c>
      <c r="B153" s="40">
        <v>39148</v>
      </c>
      <c r="C153" s="3" t="s">
        <v>97</v>
      </c>
      <c r="D153" s="3" t="s">
        <v>357</v>
      </c>
      <c r="E153" s="3" t="s">
        <v>1029</v>
      </c>
      <c r="F153" s="3" t="s">
        <v>1030</v>
      </c>
      <c r="G153" s="3" t="s">
        <v>770</v>
      </c>
      <c r="H153" s="3" t="s">
        <v>1190</v>
      </c>
    </row>
    <row r="154" spans="1:8">
      <c r="A154" s="40">
        <v>38326</v>
      </c>
      <c r="B154" s="40">
        <v>38469</v>
      </c>
      <c r="C154" s="3" t="s">
        <v>98</v>
      </c>
      <c r="D154" s="3" t="s">
        <v>358</v>
      </c>
      <c r="E154" s="3" t="s">
        <v>804</v>
      </c>
      <c r="F154" s="3" t="s">
        <v>848</v>
      </c>
      <c r="G154" s="3" t="s">
        <v>758</v>
      </c>
      <c r="H154" s="3" t="s">
        <v>849</v>
      </c>
    </row>
    <row r="155" spans="1:8">
      <c r="A155" s="40">
        <v>38449</v>
      </c>
      <c r="B155" s="40">
        <v>38539</v>
      </c>
      <c r="C155" s="3" t="s">
        <v>98</v>
      </c>
      <c r="D155" s="3" t="s">
        <v>1227</v>
      </c>
      <c r="E155" s="3" t="s">
        <v>804</v>
      </c>
      <c r="F155" s="3" t="s">
        <v>1031</v>
      </c>
      <c r="G155" s="3" t="s">
        <v>762</v>
      </c>
      <c r="H155" s="3" t="s">
        <v>1189</v>
      </c>
    </row>
    <row r="156" spans="1:8">
      <c r="A156" s="40">
        <v>38456</v>
      </c>
      <c r="B156" s="40">
        <v>38738</v>
      </c>
      <c r="C156" s="3" t="s">
        <v>98</v>
      </c>
      <c r="D156" s="3" t="s">
        <v>1228</v>
      </c>
      <c r="E156" s="3" t="s">
        <v>839</v>
      </c>
      <c r="F156" s="3" t="s">
        <v>1188</v>
      </c>
      <c r="G156" s="3" t="s">
        <v>775</v>
      </c>
      <c r="H156" s="3" t="s">
        <v>1032</v>
      </c>
    </row>
    <row r="157" spans="1:8">
      <c r="A157" s="40">
        <v>42941</v>
      </c>
      <c r="B157" s="40">
        <v>42943</v>
      </c>
      <c r="C157" s="3" t="s">
        <v>205</v>
      </c>
      <c r="D157" s="3" t="s">
        <v>359</v>
      </c>
      <c r="E157" s="3" t="s">
        <v>764</v>
      </c>
      <c r="F157" s="3" t="s">
        <v>1033</v>
      </c>
      <c r="G157" s="3" t="s">
        <v>792</v>
      </c>
      <c r="H157" s="3" t="s">
        <v>1034</v>
      </c>
    </row>
    <row r="158" spans="1:8">
      <c r="A158" s="40">
        <v>39314</v>
      </c>
      <c r="B158" s="40">
        <v>39315</v>
      </c>
      <c r="C158" s="3" t="s">
        <v>99</v>
      </c>
      <c r="D158" s="3" t="s">
        <v>360</v>
      </c>
      <c r="E158" s="3" t="s">
        <v>785</v>
      </c>
      <c r="F158" s="3" t="s">
        <v>1035</v>
      </c>
      <c r="G158" s="3" t="s">
        <v>770</v>
      </c>
      <c r="H158" s="3" t="s">
        <v>1187</v>
      </c>
    </row>
    <row r="159" spans="1:8">
      <c r="A159" s="40">
        <v>40869</v>
      </c>
      <c r="B159" s="40">
        <v>40869</v>
      </c>
      <c r="C159" s="3" t="s">
        <v>100</v>
      </c>
      <c r="D159" s="3" t="s">
        <v>361</v>
      </c>
      <c r="E159" s="3" t="s">
        <v>785</v>
      </c>
      <c r="F159" s="3" t="s">
        <v>1036</v>
      </c>
      <c r="G159" s="3" t="s">
        <v>792</v>
      </c>
      <c r="H159" s="3" t="s">
        <v>1037</v>
      </c>
    </row>
    <row r="160" spans="1:8">
      <c r="A160" s="40">
        <v>43340</v>
      </c>
      <c r="B160" s="40">
        <v>43373</v>
      </c>
      <c r="C160" s="3" t="s">
        <v>101</v>
      </c>
      <c r="D160" s="3" t="s">
        <v>362</v>
      </c>
      <c r="E160" s="3" t="s">
        <v>1038</v>
      </c>
      <c r="F160" s="3" t="s">
        <v>1039</v>
      </c>
      <c r="G160" s="3" t="s">
        <v>770</v>
      </c>
      <c r="H160" s="3" t="s">
        <v>1040</v>
      </c>
    </row>
    <row r="161" spans="1:8">
      <c r="A161" s="40">
        <v>41214</v>
      </c>
      <c r="B161" s="40">
        <v>41215</v>
      </c>
      <c r="C161" s="3" t="s">
        <v>102</v>
      </c>
      <c r="D161" s="3" t="s">
        <v>363</v>
      </c>
      <c r="E161" s="3" t="s">
        <v>979</v>
      </c>
      <c r="F161" s="3" t="s">
        <v>1186</v>
      </c>
      <c r="G161" s="3" t="s">
        <v>802</v>
      </c>
      <c r="H161" s="3" t="s">
        <v>1041</v>
      </c>
    </row>
    <row r="162" spans="1:8">
      <c r="A162" s="40">
        <v>41303</v>
      </c>
      <c r="B162" s="40">
        <v>41306</v>
      </c>
      <c r="C162" s="3" t="s">
        <v>102</v>
      </c>
      <c r="D162" s="3" t="s">
        <v>364</v>
      </c>
      <c r="E162" s="3" t="s">
        <v>1042</v>
      </c>
      <c r="F162" s="3" t="s">
        <v>1043</v>
      </c>
      <c r="G162" s="3" t="s">
        <v>762</v>
      </c>
      <c r="H162" s="3" t="s">
        <v>1044</v>
      </c>
    </row>
    <row r="163" spans="1:8">
      <c r="A163" s="40">
        <v>38308</v>
      </c>
      <c r="B163" s="40">
        <v>38309</v>
      </c>
      <c r="C163" s="3" t="s">
        <v>103</v>
      </c>
      <c r="D163" s="3" t="s">
        <v>365</v>
      </c>
      <c r="E163" s="3" t="s">
        <v>804</v>
      </c>
      <c r="F163" s="3" t="s">
        <v>822</v>
      </c>
      <c r="G163" s="3" t="s">
        <v>770</v>
      </c>
      <c r="H163" s="3" t="s">
        <v>823</v>
      </c>
    </row>
    <row r="164" spans="1:8">
      <c r="A164" s="40">
        <v>38643</v>
      </c>
      <c r="B164" s="40">
        <v>38646</v>
      </c>
      <c r="C164" s="3" t="s">
        <v>103</v>
      </c>
      <c r="D164" s="3" t="s">
        <v>366</v>
      </c>
      <c r="E164" s="3" t="s">
        <v>891</v>
      </c>
      <c r="F164" s="3" t="s">
        <v>1045</v>
      </c>
      <c r="G164" s="3" t="s">
        <v>762</v>
      </c>
      <c r="H164" s="3" t="s">
        <v>1046</v>
      </c>
    </row>
    <row r="165" spans="1:8">
      <c r="A165" s="40">
        <v>40792</v>
      </c>
      <c r="B165" s="40">
        <v>40792</v>
      </c>
      <c r="C165" s="3" t="s">
        <v>104</v>
      </c>
      <c r="D165" s="3" t="s">
        <v>367</v>
      </c>
      <c r="E165" s="3" t="s">
        <v>785</v>
      </c>
      <c r="F165" s="3" t="s">
        <v>1047</v>
      </c>
      <c r="G165" s="3" t="s">
        <v>762</v>
      </c>
      <c r="H165" s="3" t="s">
        <v>1048</v>
      </c>
    </row>
    <row r="166" spans="1:8">
      <c r="A166" s="40">
        <v>39454</v>
      </c>
      <c r="B166" s="40">
        <v>40897</v>
      </c>
      <c r="C166" s="3" t="s">
        <v>105</v>
      </c>
      <c r="D166" s="3" t="s">
        <v>368</v>
      </c>
      <c r="E166" s="3" t="s">
        <v>1049</v>
      </c>
      <c r="F166" s="3" t="s">
        <v>1050</v>
      </c>
      <c r="G166" s="3" t="s">
        <v>762</v>
      </c>
      <c r="H166" s="3" t="s">
        <v>1051</v>
      </c>
    </row>
    <row r="167" spans="1:8">
      <c r="A167" s="40">
        <v>41492</v>
      </c>
      <c r="B167" s="40">
        <v>41495</v>
      </c>
      <c r="C167" s="3" t="s">
        <v>105</v>
      </c>
      <c r="D167" s="3" t="s">
        <v>369</v>
      </c>
      <c r="E167" s="3" t="s">
        <v>1052</v>
      </c>
      <c r="F167" s="3" t="s">
        <v>1053</v>
      </c>
      <c r="G167" s="3" t="s">
        <v>770</v>
      </c>
      <c r="H167" s="3" t="s">
        <v>1054</v>
      </c>
    </row>
    <row r="168" spans="1:8">
      <c r="A168" s="40">
        <v>37783</v>
      </c>
      <c r="B168" s="40">
        <v>37783</v>
      </c>
      <c r="C168" s="3" t="s">
        <v>106</v>
      </c>
      <c r="D168" s="3" t="s">
        <v>370</v>
      </c>
      <c r="E168" s="3" t="s">
        <v>770</v>
      </c>
      <c r="F168" s="3" t="s">
        <v>1185</v>
      </c>
      <c r="G168" s="3" t="s">
        <v>770</v>
      </c>
      <c r="H168" s="3" t="s">
        <v>1185</v>
      </c>
    </row>
    <row r="169" spans="1:8">
      <c r="A169" s="40">
        <v>43070</v>
      </c>
      <c r="B169" s="40">
        <v>43070</v>
      </c>
      <c r="C169" s="3" t="s">
        <v>107</v>
      </c>
      <c r="D169" s="3" t="s">
        <v>1055</v>
      </c>
      <c r="E169" s="3" t="s">
        <v>936</v>
      </c>
      <c r="F169" s="3" t="s">
        <v>1184</v>
      </c>
      <c r="G169" s="3" t="s">
        <v>762</v>
      </c>
      <c r="H169" s="3" t="s">
        <v>1056</v>
      </c>
    </row>
    <row r="170" spans="1:8">
      <c r="A170" s="40">
        <v>40072</v>
      </c>
      <c r="B170" s="40">
        <v>40073</v>
      </c>
      <c r="C170" s="3" t="s">
        <v>108</v>
      </c>
      <c r="D170" s="3" t="s">
        <v>1229</v>
      </c>
      <c r="E170" s="3" t="s">
        <v>770</v>
      </c>
      <c r="F170" s="3" t="s">
        <v>1057</v>
      </c>
      <c r="G170" s="3" t="s">
        <v>770</v>
      </c>
      <c r="H170" s="3" t="s">
        <v>1057</v>
      </c>
    </row>
    <row r="171" spans="1:8">
      <c r="A171" s="40">
        <v>39875</v>
      </c>
      <c r="B171" s="40">
        <v>40947</v>
      </c>
      <c r="C171" s="3" t="s">
        <v>109</v>
      </c>
      <c r="D171" s="3" t="s">
        <v>371</v>
      </c>
      <c r="E171" s="3" t="s">
        <v>1058</v>
      </c>
      <c r="F171" s="3" t="s">
        <v>1059</v>
      </c>
      <c r="G171" s="3" t="s">
        <v>770</v>
      </c>
      <c r="H171" s="3" t="s">
        <v>1060</v>
      </c>
    </row>
    <row r="172" spans="1:8">
      <c r="A172" s="40">
        <v>40430</v>
      </c>
      <c r="B172" s="40">
        <v>40487</v>
      </c>
      <c r="C172" s="3" t="s">
        <v>109</v>
      </c>
      <c r="D172" s="3" t="s">
        <v>372</v>
      </c>
      <c r="E172" s="3" t="s">
        <v>764</v>
      </c>
      <c r="F172" s="3" t="s">
        <v>1061</v>
      </c>
      <c r="G172" s="3" t="s">
        <v>762</v>
      </c>
      <c r="H172" s="3" t="s">
        <v>1062</v>
      </c>
    </row>
    <row r="173" spans="1:8">
      <c r="A173" s="40">
        <v>41192</v>
      </c>
      <c r="B173" s="40">
        <v>41193</v>
      </c>
      <c r="C173" s="3" t="s">
        <v>110</v>
      </c>
      <c r="D173" s="3" t="s">
        <v>373</v>
      </c>
      <c r="E173" s="3" t="s">
        <v>764</v>
      </c>
      <c r="F173" s="3" t="s">
        <v>1063</v>
      </c>
      <c r="G173" s="3" t="s">
        <v>770</v>
      </c>
      <c r="H173" s="3" t="s">
        <v>1064</v>
      </c>
    </row>
    <row r="174" spans="1:8">
      <c r="A174" s="40">
        <v>40735</v>
      </c>
      <c r="B174" s="40">
        <v>41376</v>
      </c>
      <c r="C174" s="3" t="s">
        <v>111</v>
      </c>
      <c r="D174" s="3" t="s">
        <v>374</v>
      </c>
      <c r="E174" s="3" t="s">
        <v>815</v>
      </c>
      <c r="F174" s="3" t="s">
        <v>1065</v>
      </c>
      <c r="G174" s="3" t="s">
        <v>770</v>
      </c>
      <c r="H174" s="3" t="s">
        <v>1066</v>
      </c>
    </row>
    <row r="175" spans="1:8">
      <c r="A175" s="40">
        <v>43482</v>
      </c>
      <c r="B175" s="40">
        <v>43488</v>
      </c>
      <c r="C175" s="3" t="s">
        <v>111</v>
      </c>
      <c r="D175" s="3" t="s">
        <v>375</v>
      </c>
      <c r="E175" s="3" t="s">
        <v>1067</v>
      </c>
      <c r="F175" s="3" t="s">
        <v>1068</v>
      </c>
      <c r="G175" s="3" t="s">
        <v>762</v>
      </c>
      <c r="H175" s="3" t="s">
        <v>1169</v>
      </c>
    </row>
    <row r="176" spans="1:8">
      <c r="A176" s="40">
        <v>40990</v>
      </c>
      <c r="B176" s="40">
        <v>40990</v>
      </c>
      <c r="C176" s="3" t="s">
        <v>209</v>
      </c>
      <c r="D176" s="3" t="s">
        <v>376</v>
      </c>
      <c r="E176" s="3" t="s">
        <v>815</v>
      </c>
      <c r="F176" s="3" t="s">
        <v>1069</v>
      </c>
      <c r="G176" s="3" t="s">
        <v>762</v>
      </c>
      <c r="H176" s="3" t="s">
        <v>1070</v>
      </c>
    </row>
    <row r="177" spans="1:8">
      <c r="A177" s="40">
        <v>40861</v>
      </c>
      <c r="B177" s="40">
        <v>40868</v>
      </c>
      <c r="C177" s="3" t="s">
        <v>112</v>
      </c>
      <c r="D177" s="3" t="s">
        <v>377</v>
      </c>
      <c r="E177" s="3" t="s">
        <v>1071</v>
      </c>
      <c r="F177" s="3" t="s">
        <v>1072</v>
      </c>
      <c r="G177" s="3" t="s">
        <v>1073</v>
      </c>
      <c r="H177" s="3" t="s">
        <v>1168</v>
      </c>
    </row>
    <row r="178" spans="1:8">
      <c r="A178" s="40">
        <v>40129</v>
      </c>
      <c r="B178" s="40">
        <v>40142</v>
      </c>
      <c r="C178" s="3" t="s">
        <v>113</v>
      </c>
      <c r="D178" s="3" t="s">
        <v>378</v>
      </c>
      <c r="E178" s="3" t="s">
        <v>891</v>
      </c>
      <c r="F178" s="3" t="s">
        <v>1074</v>
      </c>
      <c r="G178" s="3" t="s">
        <v>762</v>
      </c>
      <c r="H178" s="3" t="s">
        <v>1075</v>
      </c>
    </row>
    <row r="179" spans="1:8">
      <c r="A179" s="40">
        <v>41478</v>
      </c>
      <c r="B179" s="40">
        <v>41479</v>
      </c>
      <c r="C179" s="3" t="s">
        <v>114</v>
      </c>
      <c r="D179" s="3" t="s">
        <v>379</v>
      </c>
      <c r="E179" s="3" t="s">
        <v>1076</v>
      </c>
      <c r="F179" s="3" t="s">
        <v>1167</v>
      </c>
      <c r="G179" s="3" t="s">
        <v>770</v>
      </c>
      <c r="H179" s="3" t="s">
        <v>1077</v>
      </c>
    </row>
    <row r="180" spans="1:8">
      <c r="A180" s="40">
        <v>42806</v>
      </c>
      <c r="B180" s="40">
        <v>42806</v>
      </c>
      <c r="C180" s="3" t="s">
        <v>114</v>
      </c>
      <c r="D180" s="3" t="s">
        <v>380</v>
      </c>
      <c r="E180" s="3" t="s">
        <v>1078</v>
      </c>
      <c r="F180" s="3" t="s">
        <v>1079</v>
      </c>
      <c r="G180" s="3" t="s">
        <v>961</v>
      </c>
      <c r="H180" s="3" t="s">
        <v>1165</v>
      </c>
    </row>
    <row r="181" spans="1:8">
      <c r="A181" s="40">
        <v>43475</v>
      </c>
      <c r="B181" s="40">
        <v>43476</v>
      </c>
      <c r="C181" s="3" t="s">
        <v>114</v>
      </c>
      <c r="D181" s="3" t="s">
        <v>381</v>
      </c>
      <c r="E181" s="3" t="s">
        <v>1081</v>
      </c>
      <c r="F181" s="3" t="s">
        <v>1166</v>
      </c>
      <c r="G181" s="3" t="s">
        <v>762</v>
      </c>
      <c r="H181" s="3" t="s">
        <v>1080</v>
      </c>
    </row>
    <row r="182" spans="1:8">
      <c r="A182" s="40">
        <v>37922</v>
      </c>
      <c r="B182" s="40">
        <v>37923</v>
      </c>
      <c r="C182" s="3" t="s">
        <v>115</v>
      </c>
      <c r="D182" s="3" t="s">
        <v>382</v>
      </c>
      <c r="E182" s="3" t="s">
        <v>785</v>
      </c>
      <c r="F182" s="3" t="s">
        <v>842</v>
      </c>
      <c r="G182" s="3" t="s">
        <v>770</v>
      </c>
      <c r="H182" s="3" t="s">
        <v>835</v>
      </c>
    </row>
    <row r="183" spans="1:8">
      <c r="A183" s="40">
        <v>41055</v>
      </c>
      <c r="B183" s="40">
        <v>41059</v>
      </c>
      <c r="C183" s="3" t="s">
        <v>116</v>
      </c>
      <c r="D183" s="3" t="s">
        <v>383</v>
      </c>
      <c r="E183" s="3" t="s">
        <v>804</v>
      </c>
      <c r="F183" s="3" t="s">
        <v>1082</v>
      </c>
      <c r="G183" s="3" t="s">
        <v>775</v>
      </c>
      <c r="H183" s="3" t="s">
        <v>1083</v>
      </c>
    </row>
    <row r="184" spans="1:8">
      <c r="A184" s="40">
        <v>39231</v>
      </c>
      <c r="B184" s="40">
        <v>39241</v>
      </c>
      <c r="C184" s="3" t="s">
        <v>117</v>
      </c>
      <c r="D184" s="3" t="s">
        <v>384</v>
      </c>
      <c r="E184" s="3" t="s">
        <v>1084</v>
      </c>
      <c r="F184" s="3" t="s">
        <v>1164</v>
      </c>
      <c r="G184" s="3" t="s">
        <v>762</v>
      </c>
      <c r="H184" s="3" t="s">
        <v>1085</v>
      </c>
    </row>
    <row r="185" spans="1:8">
      <c r="A185" s="40">
        <v>41054</v>
      </c>
      <c r="B185" s="40">
        <v>41055</v>
      </c>
      <c r="C185" s="3" t="s">
        <v>211</v>
      </c>
      <c r="D185" s="3" t="s">
        <v>385</v>
      </c>
      <c r="E185" s="3" t="s">
        <v>764</v>
      </c>
      <c r="F185" s="3" t="s">
        <v>1086</v>
      </c>
      <c r="G185" s="3" t="s">
        <v>770</v>
      </c>
      <c r="H185" s="3" t="s">
        <v>810</v>
      </c>
    </row>
    <row r="186" spans="1:8">
      <c r="A186" s="40">
        <v>38333</v>
      </c>
      <c r="B186" s="40">
        <v>38333</v>
      </c>
      <c r="C186" s="3" t="s">
        <v>118</v>
      </c>
      <c r="D186" s="3" t="s">
        <v>387</v>
      </c>
      <c r="E186" s="3" t="s">
        <v>841</v>
      </c>
      <c r="F186" s="3" t="s">
        <v>1130</v>
      </c>
      <c r="G186" s="3" t="s">
        <v>841</v>
      </c>
      <c r="H186" s="3" t="s">
        <v>1130</v>
      </c>
    </row>
    <row r="187" spans="1:8">
      <c r="A187" s="40">
        <v>38420</v>
      </c>
      <c r="B187" s="40">
        <v>38509</v>
      </c>
      <c r="C187" s="3" t="s">
        <v>118</v>
      </c>
      <c r="D187" s="3" t="s">
        <v>386</v>
      </c>
      <c r="E187" s="3" t="s">
        <v>891</v>
      </c>
      <c r="F187" s="3" t="s">
        <v>1087</v>
      </c>
      <c r="G187" s="3" t="s">
        <v>770</v>
      </c>
      <c r="H187" s="3" t="s">
        <v>1088</v>
      </c>
    </row>
    <row r="188" spans="1:8">
      <c r="A188" s="40">
        <v>37777</v>
      </c>
      <c r="B188" s="40">
        <v>37778</v>
      </c>
      <c r="C188" s="3" t="s">
        <v>119</v>
      </c>
      <c r="D188" s="3" t="s">
        <v>388</v>
      </c>
      <c r="E188" s="3" t="s">
        <v>804</v>
      </c>
      <c r="F188" s="3" t="s">
        <v>1201</v>
      </c>
      <c r="G188" s="3" t="s">
        <v>770</v>
      </c>
      <c r="H188" s="3" t="s">
        <v>1202</v>
      </c>
    </row>
    <row r="189" spans="1:8">
      <c r="A189" s="40">
        <v>37824</v>
      </c>
      <c r="B189" s="40">
        <v>37824</v>
      </c>
      <c r="C189" s="3" t="s">
        <v>119</v>
      </c>
      <c r="D189" s="3" t="s">
        <v>389</v>
      </c>
      <c r="E189" s="3" t="s">
        <v>839</v>
      </c>
      <c r="F189" s="3" t="s">
        <v>1203</v>
      </c>
      <c r="G189" s="3" t="s">
        <v>770</v>
      </c>
      <c r="H189" s="3" t="s">
        <v>1204</v>
      </c>
    </row>
    <row r="190" spans="1:8">
      <c r="A190" s="40">
        <v>38260</v>
      </c>
      <c r="B190" s="40">
        <v>38261</v>
      </c>
      <c r="C190" s="3" t="s">
        <v>119</v>
      </c>
      <c r="D190" s="3" t="s">
        <v>390</v>
      </c>
      <c r="E190" s="3" t="s">
        <v>785</v>
      </c>
      <c r="F190" s="3" t="s">
        <v>784</v>
      </c>
      <c r="G190" s="3" t="s">
        <v>762</v>
      </c>
      <c r="H190" s="3" t="s">
        <v>845</v>
      </c>
    </row>
    <row r="191" spans="1:8">
      <c r="A191" s="40">
        <v>38408</v>
      </c>
      <c r="B191" s="40">
        <v>38414</v>
      </c>
      <c r="C191" s="3" t="s">
        <v>119</v>
      </c>
      <c r="D191" s="3" t="s">
        <v>391</v>
      </c>
      <c r="E191" s="3" t="s">
        <v>851</v>
      </c>
      <c r="F191" s="3" t="s">
        <v>852</v>
      </c>
      <c r="G191" s="3" t="s">
        <v>770</v>
      </c>
      <c r="H191" s="3" t="s">
        <v>853</v>
      </c>
    </row>
    <row r="192" spans="1:8">
      <c r="A192" s="40">
        <v>40343</v>
      </c>
      <c r="B192" s="40">
        <v>40344</v>
      </c>
      <c r="C192" s="3" t="s">
        <v>120</v>
      </c>
      <c r="D192" s="3" t="s">
        <v>195</v>
      </c>
      <c r="E192" s="3" t="s">
        <v>824</v>
      </c>
      <c r="F192" s="3" t="s">
        <v>825</v>
      </c>
      <c r="G192" s="3" t="s">
        <v>762</v>
      </c>
      <c r="H192" s="3" t="s">
        <v>826</v>
      </c>
    </row>
    <row r="193" spans="1:8">
      <c r="A193" s="40">
        <v>42727</v>
      </c>
      <c r="B193" s="40">
        <v>42748</v>
      </c>
      <c r="C193" s="3" t="s">
        <v>120</v>
      </c>
      <c r="D193" s="3" t="s">
        <v>392</v>
      </c>
      <c r="E193" s="3" t="s">
        <v>967</v>
      </c>
      <c r="F193" s="3" t="s">
        <v>1089</v>
      </c>
      <c r="G193" s="3" t="s">
        <v>762</v>
      </c>
      <c r="H193" s="3" t="s">
        <v>1090</v>
      </c>
    </row>
    <row r="194" spans="1:8">
      <c r="A194" s="40">
        <v>41680</v>
      </c>
      <c r="B194" s="40">
        <v>41913</v>
      </c>
      <c r="C194" s="3" t="s">
        <v>196</v>
      </c>
      <c r="D194" s="3" t="s">
        <v>393</v>
      </c>
      <c r="E194" s="3" t="s">
        <v>981</v>
      </c>
      <c r="F194" s="3" t="s">
        <v>1091</v>
      </c>
      <c r="G194" s="3" t="s">
        <v>762</v>
      </c>
      <c r="H194" s="3" t="s">
        <v>1092</v>
      </c>
    </row>
    <row r="195" spans="1:8">
      <c r="A195" s="40">
        <v>40343</v>
      </c>
      <c r="B195" s="40">
        <v>40344</v>
      </c>
      <c r="C195" s="3" t="s">
        <v>216</v>
      </c>
      <c r="D195" s="3" t="s">
        <v>243</v>
      </c>
      <c r="E195" s="3" t="s">
        <v>824</v>
      </c>
      <c r="F195" s="3" t="s">
        <v>825</v>
      </c>
      <c r="G195" s="3" t="s">
        <v>762</v>
      </c>
      <c r="H195" s="3" t="s">
        <v>826</v>
      </c>
    </row>
    <row r="196" spans="1:8">
      <c r="A196" s="40">
        <v>43083</v>
      </c>
      <c r="B196" s="40">
        <v>43312</v>
      </c>
      <c r="C196" s="3" t="s">
        <v>121</v>
      </c>
      <c r="D196" s="3" t="s">
        <v>394</v>
      </c>
      <c r="E196" s="3" t="s">
        <v>979</v>
      </c>
      <c r="F196" s="3" t="s">
        <v>1205</v>
      </c>
      <c r="G196" s="3" t="s">
        <v>770</v>
      </c>
      <c r="H196" s="3" t="s">
        <v>1093</v>
      </c>
    </row>
    <row r="197" spans="1:8">
      <c r="A197" s="40">
        <v>41140</v>
      </c>
      <c r="B197" s="40">
        <v>41141</v>
      </c>
      <c r="C197" s="3" t="s">
        <v>122</v>
      </c>
      <c r="D197" s="3" t="s">
        <v>395</v>
      </c>
      <c r="E197" s="3" t="s">
        <v>764</v>
      </c>
      <c r="F197" s="3" t="s">
        <v>780</v>
      </c>
      <c r="G197" s="3" t="s">
        <v>802</v>
      </c>
      <c r="H197" s="3" t="s">
        <v>962</v>
      </c>
    </row>
    <row r="198" spans="1:8">
      <c r="A198" s="40">
        <v>39731</v>
      </c>
      <c r="B198" s="40">
        <v>39734</v>
      </c>
      <c r="C198" s="3" t="s">
        <v>123</v>
      </c>
      <c r="D198" s="3" t="s">
        <v>396</v>
      </c>
      <c r="E198" s="3" t="s">
        <v>981</v>
      </c>
      <c r="F198" s="3" t="s">
        <v>1206</v>
      </c>
      <c r="G198" s="3" t="s">
        <v>841</v>
      </c>
      <c r="H198" s="3" t="s">
        <v>874</v>
      </c>
    </row>
    <row r="199" spans="1:8">
      <c r="A199" s="40">
        <v>42984</v>
      </c>
      <c r="B199" s="40">
        <v>43011</v>
      </c>
      <c r="C199" s="3" t="s">
        <v>124</v>
      </c>
      <c r="D199" s="3" t="s">
        <v>397</v>
      </c>
      <c r="E199" s="3" t="s">
        <v>939</v>
      </c>
      <c r="F199" s="3" t="s">
        <v>1094</v>
      </c>
      <c r="G199" s="3" t="s">
        <v>762</v>
      </c>
      <c r="H199" s="3" t="s">
        <v>1095</v>
      </c>
    </row>
    <row r="200" spans="1:8">
      <c r="A200" s="40">
        <v>41136</v>
      </c>
      <c r="B200" s="40">
        <v>41482</v>
      </c>
      <c r="C200" s="3" t="s">
        <v>125</v>
      </c>
      <c r="D200" s="3" t="s">
        <v>398</v>
      </c>
      <c r="E200" s="3" t="s">
        <v>764</v>
      </c>
      <c r="F200" s="3" t="s">
        <v>1096</v>
      </c>
      <c r="G200" s="3" t="s">
        <v>802</v>
      </c>
      <c r="H200" s="3" t="s">
        <v>1097</v>
      </c>
    </row>
    <row r="201" spans="1:8">
      <c r="A201" s="40">
        <v>41247</v>
      </c>
      <c r="B201" s="40">
        <v>41248</v>
      </c>
      <c r="C201" s="3" t="s">
        <v>126</v>
      </c>
      <c r="D201" s="3" t="s">
        <v>399</v>
      </c>
      <c r="E201" s="3" t="s">
        <v>949</v>
      </c>
      <c r="F201" s="3" t="s">
        <v>1098</v>
      </c>
      <c r="G201" s="3" t="s">
        <v>770</v>
      </c>
      <c r="H201" s="3" t="s">
        <v>1099</v>
      </c>
    </row>
    <row r="202" spans="1:8">
      <c r="A202" s="40">
        <v>43076</v>
      </c>
      <c r="B202" s="40">
        <v>43076</v>
      </c>
      <c r="C202" s="3" t="s">
        <v>127</v>
      </c>
      <c r="D202" s="3" t="s">
        <v>400</v>
      </c>
      <c r="E202" s="3" t="s">
        <v>936</v>
      </c>
      <c r="F202" s="3" t="s">
        <v>1100</v>
      </c>
      <c r="G202" s="3" t="s">
        <v>762</v>
      </c>
      <c r="H202" s="3" t="s">
        <v>1101</v>
      </c>
    </row>
    <row r="203" spans="1:8">
      <c r="A203" s="40">
        <v>41736</v>
      </c>
      <c r="B203" s="40">
        <v>41737</v>
      </c>
      <c r="C203" s="3" t="s">
        <v>128</v>
      </c>
      <c r="D203" s="3" t="s">
        <v>401</v>
      </c>
      <c r="E203" s="3" t="s">
        <v>1102</v>
      </c>
      <c r="F203" s="3" t="s">
        <v>1207</v>
      </c>
      <c r="G203" s="3" t="s">
        <v>770</v>
      </c>
      <c r="H203" s="3" t="s">
        <v>1103</v>
      </c>
    </row>
    <row r="204" spans="1:8">
      <c r="A204" s="40">
        <v>39601</v>
      </c>
      <c r="B204" s="40">
        <v>39673</v>
      </c>
      <c r="C204" s="3" t="s">
        <v>129</v>
      </c>
      <c r="D204" s="3" t="s">
        <v>402</v>
      </c>
      <c r="E204" s="3" t="s">
        <v>1104</v>
      </c>
      <c r="F204" s="3" t="s">
        <v>1105</v>
      </c>
      <c r="G204" s="3" t="s">
        <v>841</v>
      </c>
      <c r="H204" s="3" t="s">
        <v>874</v>
      </c>
    </row>
    <row r="205" spans="1:8">
      <c r="A205" s="40">
        <v>40900</v>
      </c>
      <c r="B205" s="40">
        <v>40946</v>
      </c>
      <c r="C205" s="3" t="s">
        <v>129</v>
      </c>
      <c r="D205" s="3" t="s">
        <v>403</v>
      </c>
      <c r="E205" s="3" t="s">
        <v>1106</v>
      </c>
      <c r="F205" s="3" t="s">
        <v>1209</v>
      </c>
      <c r="G205" s="3" t="s">
        <v>770</v>
      </c>
      <c r="H205" s="3" t="s">
        <v>1107</v>
      </c>
    </row>
    <row r="206" spans="1:8">
      <c r="A206" s="40">
        <v>38520</v>
      </c>
      <c r="B206" s="40">
        <v>38520</v>
      </c>
      <c r="C206" s="3" t="s">
        <v>130</v>
      </c>
      <c r="D206" s="3" t="s">
        <v>404</v>
      </c>
      <c r="E206" s="3" t="s">
        <v>839</v>
      </c>
      <c r="F206" s="3" t="s">
        <v>1208</v>
      </c>
      <c r="G206" s="3" t="s">
        <v>770</v>
      </c>
      <c r="H206" s="3" t="s">
        <v>1210</v>
      </c>
    </row>
    <row r="207" spans="1:8">
      <c r="A207" s="40">
        <v>39070</v>
      </c>
      <c r="B207" s="40">
        <v>39072</v>
      </c>
      <c r="C207" s="3" t="s">
        <v>130</v>
      </c>
      <c r="D207" s="3" t="s">
        <v>405</v>
      </c>
      <c r="E207" s="3" t="s">
        <v>839</v>
      </c>
      <c r="F207" s="3" t="s">
        <v>1108</v>
      </c>
      <c r="G207" s="3" t="s">
        <v>762</v>
      </c>
      <c r="H207" s="3" t="s">
        <v>1109</v>
      </c>
    </row>
    <row r="208" spans="1:8">
      <c r="A208" s="40">
        <v>38893</v>
      </c>
      <c r="B208" s="40">
        <v>38893</v>
      </c>
      <c r="C208" s="3" t="s">
        <v>131</v>
      </c>
      <c r="D208" s="3" t="s">
        <v>406</v>
      </c>
      <c r="E208" s="3" t="s">
        <v>802</v>
      </c>
      <c r="F208" s="3" t="s">
        <v>1211</v>
      </c>
      <c r="G208" s="3" t="s">
        <v>802</v>
      </c>
      <c r="H208" s="3" t="s">
        <v>1211</v>
      </c>
    </row>
    <row r="209" spans="1:8">
      <c r="A209" s="40">
        <v>39569</v>
      </c>
      <c r="B209" s="40">
        <v>39570</v>
      </c>
      <c r="C209" s="3" t="s">
        <v>131</v>
      </c>
      <c r="D209" s="3" t="s">
        <v>407</v>
      </c>
      <c r="E209" s="3" t="s">
        <v>785</v>
      </c>
      <c r="F209" s="3" t="s">
        <v>1110</v>
      </c>
      <c r="G209" s="3" t="s">
        <v>802</v>
      </c>
      <c r="H209" s="3" t="s">
        <v>1212</v>
      </c>
    </row>
    <row r="210" spans="1:8">
      <c r="A210" s="40">
        <v>39572</v>
      </c>
      <c r="B210" s="40">
        <v>39572</v>
      </c>
      <c r="C210" s="3" t="s">
        <v>131</v>
      </c>
      <c r="D210" s="3" t="s">
        <v>408</v>
      </c>
      <c r="E210" s="3" t="s">
        <v>802</v>
      </c>
      <c r="F210" s="3" t="s">
        <v>1213</v>
      </c>
      <c r="G210" s="3" t="s">
        <v>802</v>
      </c>
      <c r="H210" s="3" t="s">
        <v>1213</v>
      </c>
    </row>
    <row r="211" spans="1:8">
      <c r="A211" s="40">
        <v>38037</v>
      </c>
      <c r="B211" s="40">
        <v>38038</v>
      </c>
      <c r="C211" s="3" t="s">
        <v>132</v>
      </c>
      <c r="D211" s="3" t="s">
        <v>409</v>
      </c>
      <c r="E211" s="3" t="s">
        <v>891</v>
      </c>
      <c r="F211" s="3" t="s">
        <v>1214</v>
      </c>
      <c r="G211" s="3" t="s">
        <v>792</v>
      </c>
      <c r="H211" s="3" t="s">
        <v>844</v>
      </c>
    </row>
    <row r="212" spans="1:8">
      <c r="A212" s="40">
        <v>38617</v>
      </c>
      <c r="B212" s="40">
        <v>38618</v>
      </c>
      <c r="C212" s="3" t="s">
        <v>133</v>
      </c>
      <c r="D212" s="3" t="s">
        <v>410</v>
      </c>
      <c r="E212" s="3" t="s">
        <v>839</v>
      </c>
      <c r="F212" s="3" t="s">
        <v>1111</v>
      </c>
      <c r="G212" s="3" t="s">
        <v>762</v>
      </c>
      <c r="H212" s="3" t="s">
        <v>1112</v>
      </c>
    </row>
    <row r="213" spans="1:8">
      <c r="A213" s="40">
        <v>38567</v>
      </c>
      <c r="B213" s="40">
        <v>38568</v>
      </c>
      <c r="C213" s="3" t="s">
        <v>134</v>
      </c>
      <c r="D213" s="3" t="s">
        <v>411</v>
      </c>
      <c r="E213" s="3" t="s">
        <v>873</v>
      </c>
      <c r="F213" s="3" t="s">
        <v>1113</v>
      </c>
      <c r="G213" s="3" t="s">
        <v>770</v>
      </c>
      <c r="H213" s="3" t="s">
        <v>1114</v>
      </c>
    </row>
    <row r="214" spans="1:8">
      <c r="A214" s="40">
        <v>37850</v>
      </c>
      <c r="B214" s="40">
        <v>37851</v>
      </c>
      <c r="C214" s="3" t="s">
        <v>135</v>
      </c>
      <c r="D214" s="3" t="s">
        <v>412</v>
      </c>
      <c r="E214" s="3" t="s">
        <v>785</v>
      </c>
      <c r="F214" s="3" t="s">
        <v>1215</v>
      </c>
      <c r="G214" s="3" t="s">
        <v>841</v>
      </c>
      <c r="H214" s="3" t="s">
        <v>840</v>
      </c>
    </row>
    <row r="215" spans="1:8">
      <c r="A215" s="40">
        <v>40752</v>
      </c>
      <c r="B215" s="40">
        <v>40753</v>
      </c>
      <c r="C215" s="3" t="s">
        <v>136</v>
      </c>
      <c r="D215" s="3" t="s">
        <v>413</v>
      </c>
      <c r="E215" s="3" t="s">
        <v>1116</v>
      </c>
      <c r="F215" s="3" t="s">
        <v>1117</v>
      </c>
      <c r="G215" s="3" t="s">
        <v>762</v>
      </c>
      <c r="H215" s="3" t="s">
        <v>1118</v>
      </c>
    </row>
    <row r="216" spans="1:8">
      <c r="A216" s="40">
        <v>36703</v>
      </c>
      <c r="B216" s="40">
        <v>36710</v>
      </c>
      <c r="C216" s="3" t="s">
        <v>137</v>
      </c>
      <c r="D216" s="3" t="s">
        <v>1230</v>
      </c>
      <c r="E216" s="3" t="s">
        <v>831</v>
      </c>
      <c r="F216" s="3" t="s">
        <v>830</v>
      </c>
      <c r="G216" s="3" t="s">
        <v>770</v>
      </c>
      <c r="H216" s="3" t="s">
        <v>829</v>
      </c>
    </row>
    <row r="217" spans="1:8">
      <c r="A217" s="40">
        <v>43738</v>
      </c>
      <c r="B217" s="40">
        <v>43783</v>
      </c>
      <c r="C217" s="3" t="s">
        <v>201</v>
      </c>
      <c r="D217" s="3" t="s">
        <v>414</v>
      </c>
      <c r="E217" s="3" t="s">
        <v>1217</v>
      </c>
      <c r="F217" s="3" t="s">
        <v>1022</v>
      </c>
      <c r="G217" s="3" t="s">
        <v>762</v>
      </c>
      <c r="H217" s="3" t="s">
        <v>777</v>
      </c>
    </row>
    <row r="218" spans="1:8">
      <c r="A218" s="40">
        <v>41140</v>
      </c>
      <c r="B218" s="40">
        <v>41141</v>
      </c>
      <c r="C218" s="3" t="s">
        <v>138</v>
      </c>
      <c r="D218" s="3" t="s">
        <v>415</v>
      </c>
      <c r="E218" s="3" t="s">
        <v>764</v>
      </c>
      <c r="F218" s="3" t="s">
        <v>780</v>
      </c>
      <c r="G218" s="3" t="s">
        <v>802</v>
      </c>
      <c r="H218" s="3" t="s">
        <v>962</v>
      </c>
    </row>
    <row r="219" spans="1:8">
      <c r="A219" s="40">
        <v>40116</v>
      </c>
      <c r="B219" s="40">
        <v>40116</v>
      </c>
      <c r="C219" s="3" t="s">
        <v>139</v>
      </c>
      <c r="D219" s="3" t="s">
        <v>416</v>
      </c>
      <c r="E219" s="3" t="s">
        <v>785</v>
      </c>
      <c r="F219" s="3" t="s">
        <v>972</v>
      </c>
      <c r="G219" s="3" t="s">
        <v>762</v>
      </c>
      <c r="H219" s="3" t="s">
        <v>1163</v>
      </c>
    </row>
  </sheetData>
  <autoFilter ref="A1:H1" xr:uid="{3CC71808-B384-4D43-9CBD-5BE4C8791BA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29EED-D8CC-564B-876C-D39AC6269EE1}">
  <sheetPr>
    <pageSetUpPr fitToPage="1"/>
  </sheetPr>
  <dimension ref="A1:R136"/>
  <sheetViews>
    <sheetView zoomScaleNormal="100" workbookViewId="0">
      <pane ySplit="1" topLeftCell="A2" activePane="bottomLeft" state="frozen"/>
      <selection activeCell="D1" sqref="D1"/>
      <selection pane="bottomLeft" activeCell="H20" sqref="H20"/>
    </sheetView>
  </sheetViews>
  <sheetFormatPr baseColWidth="10" defaultColWidth="8.83203125" defaultRowHeight="15"/>
  <cols>
    <col min="1" max="1" width="8" style="18" bestFit="1" customWidth="1"/>
    <col min="2" max="3" width="12.1640625" style="18" customWidth="1"/>
    <col min="4" max="6" width="12.1640625" style="41" customWidth="1"/>
    <col min="7" max="7" width="12.1640625" style="18" customWidth="1"/>
    <col min="8" max="8" width="12.1640625" style="43" customWidth="1"/>
    <col min="9" max="9" width="32.83203125" style="43" bestFit="1" customWidth="1"/>
    <col min="10" max="10" width="39.1640625" style="18" customWidth="1"/>
    <col min="11" max="13" width="12.1640625" style="18" customWidth="1"/>
    <col min="14" max="15" width="12.1640625" style="43" customWidth="1"/>
    <col min="16" max="18" width="12.1640625" style="18" customWidth="1"/>
    <col min="19" max="16384" width="8.83203125" style="18"/>
  </cols>
  <sheetData>
    <row r="1" spans="1:18" s="81" customFormat="1">
      <c r="A1" s="78" t="s">
        <v>0</v>
      </c>
      <c r="B1" s="78" t="s">
        <v>1</v>
      </c>
      <c r="C1" s="78" t="s">
        <v>140</v>
      </c>
      <c r="D1" s="79" t="s">
        <v>643</v>
      </c>
      <c r="E1" s="79" t="s">
        <v>694</v>
      </c>
      <c r="F1" s="79" t="s">
        <v>1115</v>
      </c>
      <c r="G1" s="78" t="s">
        <v>735</v>
      </c>
      <c r="H1" s="78" t="s">
        <v>586</v>
      </c>
      <c r="I1" s="78" t="s">
        <v>1347</v>
      </c>
      <c r="J1" s="78" t="s">
        <v>1237</v>
      </c>
      <c r="K1" s="78" t="s">
        <v>1348</v>
      </c>
      <c r="L1" s="80" t="s">
        <v>1342</v>
      </c>
      <c r="M1" s="80" t="s">
        <v>1343</v>
      </c>
      <c r="N1" s="78" t="s">
        <v>1349</v>
      </c>
      <c r="O1" s="78" t="s">
        <v>1329</v>
      </c>
      <c r="P1" s="78" t="s">
        <v>1238</v>
      </c>
      <c r="Q1" s="78" t="s">
        <v>1234</v>
      </c>
      <c r="R1" s="78" t="s">
        <v>1235</v>
      </c>
    </row>
    <row r="2" spans="1:18">
      <c r="A2" s="18">
        <v>106</v>
      </c>
      <c r="B2" s="18" t="s">
        <v>619</v>
      </c>
      <c r="C2" t="s">
        <v>141</v>
      </c>
      <c r="D2" s="41">
        <v>36868</v>
      </c>
      <c r="E2" s="41">
        <v>36868</v>
      </c>
      <c r="F2" s="41">
        <v>36869</v>
      </c>
      <c r="G2" s="18" t="str">
        <f>TEXT(D2,"dddd")</f>
        <v>Friday</v>
      </c>
      <c r="H2" s="18">
        <v>1</v>
      </c>
      <c r="I2" s="18" t="s">
        <v>1252</v>
      </c>
      <c r="J2" s="42" t="s">
        <v>1255</v>
      </c>
      <c r="K2" s="18">
        <v>0</v>
      </c>
      <c r="L2" s="18">
        <v>3</v>
      </c>
      <c r="M2" s="18">
        <v>60</v>
      </c>
      <c r="N2" s="41">
        <v>36868</v>
      </c>
      <c r="O2" s="41" t="str">
        <f>TEXT(N2,"dddd")</f>
        <v>Friday</v>
      </c>
      <c r="P2" s="18" t="s">
        <v>1251</v>
      </c>
      <c r="Q2" s="42" t="s">
        <v>1253</v>
      </c>
      <c r="R2" s="42" t="s">
        <v>1254</v>
      </c>
    </row>
    <row r="3" spans="1:18">
      <c r="A3" s="18">
        <v>107</v>
      </c>
      <c r="B3" s="18" t="s">
        <v>620</v>
      </c>
      <c r="C3" t="s">
        <v>141</v>
      </c>
      <c r="D3" s="41">
        <v>36979</v>
      </c>
      <c r="E3" s="41">
        <v>36979</v>
      </c>
      <c r="F3" s="41">
        <v>36980</v>
      </c>
      <c r="G3" s="18" t="str">
        <f t="shared" ref="G3:G32" si="0">TEXT(D3,"dddd")</f>
        <v>Thursday</v>
      </c>
      <c r="H3" s="18">
        <v>0</v>
      </c>
      <c r="I3" s="18" t="s">
        <v>1245</v>
      </c>
      <c r="J3" s="42" t="s">
        <v>1634</v>
      </c>
      <c r="K3" s="18">
        <v>0</v>
      </c>
      <c r="L3" s="18">
        <v>2</v>
      </c>
      <c r="M3" s="18">
        <v>40</v>
      </c>
      <c r="N3" s="41">
        <v>36972</v>
      </c>
      <c r="O3" s="41" t="str">
        <f t="shared" ref="O3:O32" si="1">TEXT(N3,"dddd")</f>
        <v>Thursday</v>
      </c>
      <c r="P3" s="42" t="s">
        <v>1244</v>
      </c>
      <c r="Q3" s="42" t="s">
        <v>1246</v>
      </c>
      <c r="R3" s="42" t="s">
        <v>1247</v>
      </c>
    </row>
    <row r="4" spans="1:18">
      <c r="A4" s="18">
        <v>107</v>
      </c>
      <c r="B4" s="18" t="s">
        <v>641</v>
      </c>
      <c r="C4" t="s">
        <v>141</v>
      </c>
      <c r="D4" s="41">
        <v>37119</v>
      </c>
      <c r="E4" s="41">
        <v>37119</v>
      </c>
      <c r="F4" s="41">
        <v>37120</v>
      </c>
      <c r="G4" s="18" t="str">
        <f t="shared" si="0"/>
        <v>Thursday</v>
      </c>
      <c r="H4" s="18">
        <v>0</v>
      </c>
      <c r="I4" s="18" t="s">
        <v>1249</v>
      </c>
      <c r="J4" s="18" t="s">
        <v>1635</v>
      </c>
      <c r="K4" s="18">
        <v>0</v>
      </c>
      <c r="L4" s="18">
        <v>21</v>
      </c>
      <c r="M4" s="18">
        <v>40</v>
      </c>
      <c r="N4" s="41">
        <v>37098</v>
      </c>
      <c r="O4" s="41" t="str">
        <f t="shared" si="1"/>
        <v>Thursday</v>
      </c>
      <c r="P4" s="18" t="s">
        <v>1248</v>
      </c>
      <c r="Q4" s="18" t="s">
        <v>804</v>
      </c>
      <c r="R4" s="18" t="s">
        <v>1250</v>
      </c>
    </row>
    <row r="5" spans="1:18">
      <c r="A5" s="18">
        <v>107</v>
      </c>
      <c r="B5" s="18" t="s">
        <v>621</v>
      </c>
      <c r="C5" t="s">
        <v>141</v>
      </c>
      <c r="D5" s="41">
        <v>37527</v>
      </c>
      <c r="E5" s="41">
        <v>37527</v>
      </c>
      <c r="F5" s="41">
        <v>37528</v>
      </c>
      <c r="G5" s="18" t="str">
        <f t="shared" si="0"/>
        <v>Saturday</v>
      </c>
      <c r="H5" s="18">
        <v>0</v>
      </c>
      <c r="I5" s="18" t="s">
        <v>1256</v>
      </c>
      <c r="J5" s="42" t="s">
        <v>1636</v>
      </c>
      <c r="K5" s="18">
        <v>0</v>
      </c>
      <c r="L5" s="18">
        <v>19</v>
      </c>
      <c r="M5" s="18">
        <v>102</v>
      </c>
      <c r="N5" s="41">
        <v>37505</v>
      </c>
      <c r="O5" s="41" t="str">
        <f t="shared" si="1"/>
        <v>Friday</v>
      </c>
      <c r="P5" s="42" t="s">
        <v>1257</v>
      </c>
      <c r="Q5" s="42" t="s">
        <v>804</v>
      </c>
      <c r="R5" s="42" t="s">
        <v>1258</v>
      </c>
    </row>
    <row r="6" spans="1:18">
      <c r="A6" s="18">
        <v>108</v>
      </c>
      <c r="B6" s="18" t="s">
        <v>623</v>
      </c>
      <c r="C6" t="s">
        <v>141</v>
      </c>
      <c r="D6" s="41">
        <v>38353</v>
      </c>
      <c r="E6" s="41">
        <v>38354</v>
      </c>
      <c r="F6" s="41">
        <v>38355</v>
      </c>
      <c r="G6" s="18" t="str">
        <f t="shared" si="0"/>
        <v>Saturday</v>
      </c>
      <c r="H6" s="18">
        <v>1</v>
      </c>
      <c r="I6" s="18" t="s">
        <v>1260</v>
      </c>
      <c r="J6" s="42" t="s">
        <v>1637</v>
      </c>
      <c r="K6" s="18">
        <v>0</v>
      </c>
      <c r="L6" s="18">
        <v>0</v>
      </c>
      <c r="M6" s="18">
        <v>161</v>
      </c>
      <c r="N6" s="41">
        <v>38354</v>
      </c>
      <c r="O6" s="41" t="str">
        <f t="shared" si="1"/>
        <v>Sunday</v>
      </c>
      <c r="P6" s="42" t="s">
        <v>1259</v>
      </c>
      <c r="Q6" s="42" t="s">
        <v>1218</v>
      </c>
      <c r="R6" s="42" t="s">
        <v>1262</v>
      </c>
    </row>
    <row r="7" spans="1:18">
      <c r="A7" s="18">
        <v>110</v>
      </c>
      <c r="B7" s="18" t="s">
        <v>624</v>
      </c>
      <c r="C7" t="s">
        <v>141</v>
      </c>
      <c r="D7" s="41">
        <v>39126</v>
      </c>
      <c r="E7" s="41">
        <v>39126</v>
      </c>
      <c r="F7" s="41">
        <v>39127</v>
      </c>
      <c r="G7" s="18" t="str">
        <f t="shared" si="0"/>
        <v>Tuesday</v>
      </c>
      <c r="H7" s="18">
        <v>0</v>
      </c>
      <c r="I7" s="18" t="s">
        <v>1245</v>
      </c>
      <c r="J7" s="42" t="s">
        <v>1331</v>
      </c>
      <c r="K7" s="18">
        <v>0</v>
      </c>
      <c r="L7" s="18">
        <v>35</v>
      </c>
      <c r="M7" s="18">
        <v>168</v>
      </c>
      <c r="N7" s="41">
        <v>39056</v>
      </c>
      <c r="O7" s="41" t="str">
        <f t="shared" si="1"/>
        <v>Tuesday</v>
      </c>
      <c r="P7" s="42" t="s">
        <v>1261</v>
      </c>
      <c r="Q7" s="42" t="s">
        <v>857</v>
      </c>
      <c r="R7" s="42" t="s">
        <v>1332</v>
      </c>
    </row>
    <row r="8" spans="1:18">
      <c r="A8" s="18">
        <v>110</v>
      </c>
      <c r="B8" s="18" t="s">
        <v>625</v>
      </c>
      <c r="C8" t="s">
        <v>141</v>
      </c>
      <c r="D8" s="41">
        <v>39194</v>
      </c>
      <c r="E8" s="41">
        <v>39194</v>
      </c>
      <c r="F8" s="41">
        <v>39195</v>
      </c>
      <c r="G8" s="18" t="str">
        <f t="shared" si="0"/>
        <v>Sunday</v>
      </c>
      <c r="H8" s="18">
        <v>0</v>
      </c>
      <c r="I8" s="18" t="s">
        <v>1265</v>
      </c>
      <c r="J8" s="42" t="s">
        <v>1638</v>
      </c>
      <c r="K8" s="18">
        <v>0</v>
      </c>
      <c r="L8" s="18">
        <v>21</v>
      </c>
      <c r="M8" s="18">
        <v>225</v>
      </c>
      <c r="N8" s="41">
        <v>39190</v>
      </c>
      <c r="O8" s="41" t="str">
        <f t="shared" si="1"/>
        <v>Wednesday</v>
      </c>
      <c r="P8" s="42" t="s">
        <v>1263</v>
      </c>
      <c r="Q8" s="42" t="s">
        <v>1242</v>
      </c>
      <c r="R8" s="42" t="s">
        <v>1264</v>
      </c>
    </row>
    <row r="9" spans="1:18">
      <c r="A9" s="18">
        <v>110</v>
      </c>
      <c r="B9" s="18" t="s">
        <v>627</v>
      </c>
      <c r="C9" t="s">
        <v>141</v>
      </c>
      <c r="D9" s="41">
        <v>39330</v>
      </c>
      <c r="E9" s="41">
        <v>39330</v>
      </c>
      <c r="F9" s="41">
        <v>39331</v>
      </c>
      <c r="G9" s="18" t="str">
        <f t="shared" si="0"/>
        <v>Wednesday</v>
      </c>
      <c r="H9" s="18">
        <v>1</v>
      </c>
      <c r="I9" s="18" t="s">
        <v>1267</v>
      </c>
      <c r="J9" s="42" t="s">
        <v>1639</v>
      </c>
      <c r="K9" s="18">
        <v>0</v>
      </c>
      <c r="L9" s="18">
        <v>1</v>
      </c>
      <c r="M9" s="18">
        <v>160</v>
      </c>
      <c r="N9" s="41">
        <v>39330</v>
      </c>
      <c r="O9" s="41" t="str">
        <f t="shared" si="1"/>
        <v>Wednesday</v>
      </c>
      <c r="P9" s="42" t="s">
        <v>1266</v>
      </c>
      <c r="Q9" s="42" t="s">
        <v>804</v>
      </c>
      <c r="R9" s="42" t="s">
        <v>1268</v>
      </c>
    </row>
    <row r="10" spans="1:18">
      <c r="A10" s="18">
        <v>110</v>
      </c>
      <c r="B10" s="18" t="s">
        <v>628</v>
      </c>
      <c r="C10" t="s">
        <v>141</v>
      </c>
      <c r="D10" s="41">
        <v>39361</v>
      </c>
      <c r="E10" s="41">
        <v>39361</v>
      </c>
      <c r="F10" s="41">
        <v>39362</v>
      </c>
      <c r="G10" s="18" t="str">
        <f t="shared" si="0"/>
        <v>Saturday</v>
      </c>
      <c r="H10" s="18">
        <v>0</v>
      </c>
      <c r="I10" s="18" t="s">
        <v>1272</v>
      </c>
      <c r="J10" s="42" t="s">
        <v>1640</v>
      </c>
      <c r="K10" s="18">
        <v>0</v>
      </c>
      <c r="L10" s="18">
        <v>0</v>
      </c>
      <c r="M10" s="18">
        <v>143</v>
      </c>
      <c r="N10" s="41">
        <v>39147</v>
      </c>
      <c r="O10" s="41" t="str">
        <f t="shared" si="1"/>
        <v>Tuesday</v>
      </c>
      <c r="P10" s="42" t="s">
        <v>1269</v>
      </c>
      <c r="Q10" s="42" t="s">
        <v>1270</v>
      </c>
      <c r="R10" s="42" t="s">
        <v>1271</v>
      </c>
    </row>
    <row r="11" spans="1:18">
      <c r="A11" s="18">
        <v>110</v>
      </c>
      <c r="B11" s="18" t="s">
        <v>629</v>
      </c>
      <c r="C11" t="s">
        <v>141</v>
      </c>
      <c r="D11" s="41">
        <v>39431</v>
      </c>
      <c r="E11" s="41">
        <v>39431</v>
      </c>
      <c r="F11" s="41">
        <v>39432</v>
      </c>
      <c r="G11" s="18" t="str">
        <f>TEXT(D11,"dddd")</f>
        <v>Saturday</v>
      </c>
      <c r="H11" s="18">
        <v>0</v>
      </c>
      <c r="I11" s="18" t="s">
        <v>1245</v>
      </c>
      <c r="J11" s="42" t="s">
        <v>1641</v>
      </c>
      <c r="K11" s="18">
        <v>1</v>
      </c>
      <c r="L11" s="18">
        <v>2</v>
      </c>
      <c r="M11" s="18">
        <v>269</v>
      </c>
      <c r="N11" s="41">
        <v>39353</v>
      </c>
      <c r="O11" s="41" t="str">
        <f t="shared" si="1"/>
        <v>Friday</v>
      </c>
      <c r="P11" s="42" t="s">
        <v>1273</v>
      </c>
      <c r="Q11" s="42" t="s">
        <v>804</v>
      </c>
      <c r="R11" s="42" t="s">
        <v>1274</v>
      </c>
    </row>
    <row r="12" spans="1:18">
      <c r="A12" s="18">
        <v>110</v>
      </c>
      <c r="B12" s="18" t="s">
        <v>630</v>
      </c>
      <c r="C12" t="s">
        <v>141</v>
      </c>
      <c r="D12" s="41">
        <v>39489</v>
      </c>
      <c r="E12" s="41">
        <v>39489</v>
      </c>
      <c r="F12" s="41">
        <v>39490</v>
      </c>
      <c r="G12" s="18" t="str">
        <f t="shared" si="0"/>
        <v>Monday</v>
      </c>
      <c r="H12" s="18">
        <v>0</v>
      </c>
      <c r="I12" s="18" t="s">
        <v>1276</v>
      </c>
      <c r="J12" s="42" t="s">
        <v>1279</v>
      </c>
      <c r="K12" s="18">
        <v>0</v>
      </c>
      <c r="L12" s="18">
        <v>20</v>
      </c>
      <c r="M12" s="18">
        <v>1126</v>
      </c>
      <c r="N12" s="41">
        <v>39449</v>
      </c>
      <c r="O12" s="41" t="str">
        <f t="shared" si="1"/>
        <v>Wednesday</v>
      </c>
      <c r="P12" s="42" t="s">
        <v>1275</v>
      </c>
      <c r="Q12" s="42" t="s">
        <v>1277</v>
      </c>
      <c r="R12" s="42" t="s">
        <v>1278</v>
      </c>
    </row>
    <row r="13" spans="1:18">
      <c r="A13" s="18">
        <v>110</v>
      </c>
      <c r="B13" s="18" t="s">
        <v>631</v>
      </c>
      <c r="C13" t="s">
        <v>141</v>
      </c>
      <c r="D13" s="41">
        <v>39680</v>
      </c>
      <c r="E13" s="41">
        <v>39680</v>
      </c>
      <c r="F13" s="41">
        <v>39681</v>
      </c>
      <c r="G13" s="18" t="str">
        <f t="shared" si="0"/>
        <v>Wednesday</v>
      </c>
      <c r="H13" s="18">
        <v>1</v>
      </c>
      <c r="I13" s="18" t="s">
        <v>1281</v>
      </c>
      <c r="J13" s="42" t="s">
        <v>1642</v>
      </c>
      <c r="K13" s="18">
        <v>0</v>
      </c>
      <c r="L13" s="18">
        <v>3</v>
      </c>
      <c r="M13" s="18">
        <v>259</v>
      </c>
      <c r="N13" s="41">
        <v>39680</v>
      </c>
      <c r="O13" s="41" t="str">
        <f t="shared" si="1"/>
        <v>Wednesday</v>
      </c>
      <c r="P13" s="42" t="s">
        <v>1280</v>
      </c>
      <c r="Q13" s="42" t="s">
        <v>776</v>
      </c>
      <c r="R13" s="42" t="s">
        <v>1282</v>
      </c>
    </row>
    <row r="14" spans="1:18">
      <c r="A14" s="18">
        <v>111</v>
      </c>
      <c r="B14" s="18" t="s">
        <v>64</v>
      </c>
      <c r="C14" t="s">
        <v>141</v>
      </c>
      <c r="D14" s="41">
        <v>40217</v>
      </c>
      <c r="E14" s="41">
        <v>40217</v>
      </c>
      <c r="F14" s="41">
        <v>40217</v>
      </c>
      <c r="G14" s="18" t="str">
        <f t="shared" si="0"/>
        <v>Monday</v>
      </c>
      <c r="H14" s="18">
        <v>0</v>
      </c>
      <c r="I14" s="18" t="s">
        <v>1285</v>
      </c>
      <c r="J14" s="42" t="s">
        <v>1643</v>
      </c>
      <c r="K14" s="18">
        <v>0</v>
      </c>
      <c r="L14" s="18">
        <v>41</v>
      </c>
      <c r="M14" s="18">
        <v>472</v>
      </c>
      <c r="N14" s="41">
        <v>40161</v>
      </c>
      <c r="O14" s="41" t="str">
        <f t="shared" si="1"/>
        <v>Monday</v>
      </c>
      <c r="P14" s="42" t="s">
        <v>1283</v>
      </c>
      <c r="Q14" s="42" t="s">
        <v>764</v>
      </c>
      <c r="R14" s="42" t="s">
        <v>1284</v>
      </c>
    </row>
    <row r="15" spans="1:18">
      <c r="A15" s="18">
        <v>112</v>
      </c>
      <c r="B15" s="18" t="s">
        <v>32</v>
      </c>
      <c r="C15" t="s">
        <v>141</v>
      </c>
      <c r="D15" s="41">
        <v>40974</v>
      </c>
      <c r="E15" s="41">
        <v>40974</v>
      </c>
      <c r="F15" s="41">
        <v>40975</v>
      </c>
      <c r="G15" s="18" t="str">
        <f t="shared" si="0"/>
        <v>Tuesday</v>
      </c>
      <c r="H15" s="18">
        <v>0</v>
      </c>
      <c r="I15" s="18" t="s">
        <v>1265</v>
      </c>
      <c r="J15" s="42" t="s">
        <v>1339</v>
      </c>
      <c r="K15" s="18">
        <v>0</v>
      </c>
      <c r="L15" s="18">
        <v>9</v>
      </c>
      <c r="M15" s="18">
        <v>385</v>
      </c>
      <c r="N15" s="41">
        <v>40949</v>
      </c>
      <c r="O15" s="41" t="str">
        <f t="shared" si="1"/>
        <v>Friday</v>
      </c>
      <c r="P15" s="42" t="s">
        <v>1286</v>
      </c>
      <c r="Q15" s="42" t="s">
        <v>804</v>
      </c>
      <c r="R15" s="42" t="s">
        <v>1287</v>
      </c>
    </row>
    <row r="16" spans="1:18">
      <c r="A16" s="18">
        <v>113</v>
      </c>
      <c r="B16" s="18" t="s">
        <v>16</v>
      </c>
      <c r="C16" t="s">
        <v>141</v>
      </c>
      <c r="D16" s="41">
        <v>41565</v>
      </c>
      <c r="E16" s="41">
        <v>41565</v>
      </c>
      <c r="F16" s="41">
        <v>41566</v>
      </c>
      <c r="G16" s="18" t="str">
        <f t="shared" si="0"/>
        <v>Friday</v>
      </c>
      <c r="H16" s="18">
        <v>0</v>
      </c>
      <c r="I16" s="18" t="s">
        <v>1288</v>
      </c>
      <c r="J16" s="42" t="s">
        <v>1644</v>
      </c>
      <c r="K16" s="18">
        <v>1</v>
      </c>
      <c r="L16" s="18">
        <v>57</v>
      </c>
      <c r="M16" s="18">
        <v>342</v>
      </c>
      <c r="N16" s="41">
        <v>41556</v>
      </c>
      <c r="O16" s="41" t="str">
        <f t="shared" si="1"/>
        <v>Wednesday</v>
      </c>
      <c r="P16" s="42" t="s">
        <v>1289</v>
      </c>
      <c r="Q16" s="42" t="s">
        <v>1067</v>
      </c>
      <c r="R16" s="42" t="s">
        <v>1290</v>
      </c>
    </row>
    <row r="17" spans="1:18">
      <c r="A17" s="18">
        <v>114</v>
      </c>
      <c r="B17" s="18" t="s">
        <v>635</v>
      </c>
      <c r="C17" t="s">
        <v>141</v>
      </c>
      <c r="D17" s="41">
        <v>42041</v>
      </c>
      <c r="E17" s="41">
        <v>42041</v>
      </c>
      <c r="F17" s="41">
        <v>42041</v>
      </c>
      <c r="G17" s="18" t="str">
        <f t="shared" si="0"/>
        <v>Friday</v>
      </c>
      <c r="H17" s="18">
        <v>0</v>
      </c>
      <c r="I17" s="18" t="s">
        <v>642</v>
      </c>
      <c r="J17" s="42" t="s">
        <v>1645</v>
      </c>
      <c r="K17" s="18">
        <v>0</v>
      </c>
      <c r="L17" s="18">
        <v>5</v>
      </c>
      <c r="M17" s="18">
        <v>130</v>
      </c>
      <c r="N17" s="41">
        <v>42009</v>
      </c>
      <c r="O17" s="41" t="str">
        <f t="shared" si="1"/>
        <v>Monday</v>
      </c>
      <c r="P17" s="42" t="s">
        <v>1291</v>
      </c>
      <c r="Q17" s="42" t="s">
        <v>1292</v>
      </c>
      <c r="R17" s="42" t="s">
        <v>1293</v>
      </c>
    </row>
    <row r="18" spans="1:18">
      <c r="A18" s="18">
        <v>115</v>
      </c>
      <c r="B18" s="18" t="s">
        <v>637</v>
      </c>
      <c r="C18" t="s">
        <v>141</v>
      </c>
      <c r="D18" s="41">
        <v>43175</v>
      </c>
      <c r="E18" s="41">
        <v>43175</v>
      </c>
      <c r="F18" s="41">
        <v>43175</v>
      </c>
      <c r="G18" s="18" t="str">
        <f t="shared" si="0"/>
        <v>Friday</v>
      </c>
      <c r="H18" s="18">
        <v>1</v>
      </c>
      <c r="I18" s="18" t="s">
        <v>1330</v>
      </c>
      <c r="J18" s="18" t="s">
        <v>1646</v>
      </c>
      <c r="K18" s="18">
        <v>0</v>
      </c>
      <c r="L18" s="18">
        <v>16</v>
      </c>
      <c r="M18" s="18">
        <v>400</v>
      </c>
      <c r="N18" s="41">
        <v>43173</v>
      </c>
      <c r="O18" s="41" t="str">
        <f t="shared" si="1"/>
        <v>Wednesday</v>
      </c>
      <c r="P18" s="18" t="s">
        <v>1239</v>
      </c>
      <c r="Q18" s="41" t="s">
        <v>798</v>
      </c>
      <c r="R18" s="41" t="s">
        <v>1240</v>
      </c>
    </row>
    <row r="19" spans="1:18">
      <c r="A19" s="18">
        <v>116</v>
      </c>
      <c r="B19" s="18" t="s">
        <v>640</v>
      </c>
      <c r="C19" t="s">
        <v>141</v>
      </c>
      <c r="D19" s="41">
        <v>43755</v>
      </c>
      <c r="E19" s="41">
        <v>43755</v>
      </c>
      <c r="F19" s="41">
        <v>43755</v>
      </c>
      <c r="G19" s="18" t="str">
        <f t="shared" si="0"/>
        <v>Thursday</v>
      </c>
      <c r="H19" s="18">
        <v>0</v>
      </c>
      <c r="I19" s="18" t="s">
        <v>644</v>
      </c>
      <c r="J19" s="18" t="s">
        <v>1647</v>
      </c>
      <c r="K19" s="18">
        <v>0</v>
      </c>
      <c r="L19" s="18">
        <v>41</v>
      </c>
      <c r="M19" s="18">
        <v>778</v>
      </c>
      <c r="N19" s="41">
        <v>42880</v>
      </c>
      <c r="O19" s="41" t="str">
        <f t="shared" si="1"/>
        <v>Thursday</v>
      </c>
      <c r="P19" s="53" t="s">
        <v>1241</v>
      </c>
      <c r="Q19" s="18" t="s">
        <v>1242</v>
      </c>
      <c r="R19" s="18" t="s">
        <v>1243</v>
      </c>
    </row>
    <row r="20" spans="1:18">
      <c r="A20" s="18">
        <v>106</v>
      </c>
      <c r="B20" s="18" t="s">
        <v>618</v>
      </c>
      <c r="C20" s="18" t="s">
        <v>142</v>
      </c>
      <c r="D20" s="41">
        <v>36725</v>
      </c>
      <c r="E20" s="41">
        <v>36725</v>
      </c>
      <c r="F20" s="41">
        <v>36726</v>
      </c>
      <c r="G20" s="18" t="str">
        <f t="shared" si="0"/>
        <v>Tuesday</v>
      </c>
      <c r="H20" s="43">
        <v>1</v>
      </c>
      <c r="I20" s="18" t="s">
        <v>1281</v>
      </c>
      <c r="J20" s="18" t="s">
        <v>1648</v>
      </c>
      <c r="K20" s="18">
        <v>0</v>
      </c>
      <c r="L20" s="18">
        <v>40</v>
      </c>
      <c r="M20" s="18">
        <v>289</v>
      </c>
      <c r="N20" s="54">
        <v>36724</v>
      </c>
      <c r="O20" s="41" t="str">
        <f t="shared" si="1"/>
        <v>Monday</v>
      </c>
      <c r="P20" s="18" t="s">
        <v>1294</v>
      </c>
      <c r="Q20" s="18" t="s">
        <v>1253</v>
      </c>
      <c r="R20" s="18" t="s">
        <v>1295</v>
      </c>
    </row>
    <row r="21" spans="1:18">
      <c r="A21" s="18">
        <v>107</v>
      </c>
      <c r="B21" s="18" t="s">
        <v>622</v>
      </c>
      <c r="C21" s="18" t="s">
        <v>142</v>
      </c>
      <c r="D21" s="41">
        <v>37554</v>
      </c>
      <c r="E21" s="41">
        <v>37554</v>
      </c>
      <c r="F21" s="41">
        <v>37554</v>
      </c>
      <c r="G21" s="18" t="str">
        <f t="shared" si="0"/>
        <v>Friday</v>
      </c>
      <c r="H21" s="18">
        <v>1</v>
      </c>
      <c r="I21" s="18" t="s">
        <v>1296</v>
      </c>
      <c r="J21" s="42" t="s">
        <v>1340</v>
      </c>
      <c r="K21" s="18">
        <v>0</v>
      </c>
      <c r="L21" s="18">
        <v>120</v>
      </c>
      <c r="M21" s="18">
        <v>1417</v>
      </c>
      <c r="N21" s="41">
        <v>37554</v>
      </c>
      <c r="O21" s="41" t="str">
        <f t="shared" si="1"/>
        <v>Friday</v>
      </c>
      <c r="P21" s="42" t="s">
        <v>1297</v>
      </c>
      <c r="Q21" s="18" t="s">
        <v>1298</v>
      </c>
      <c r="R21" s="18" t="s">
        <v>1299</v>
      </c>
    </row>
    <row r="22" spans="1:18">
      <c r="A22" s="18">
        <v>110</v>
      </c>
      <c r="B22" s="18" t="s">
        <v>626</v>
      </c>
      <c r="C22" s="18" t="s">
        <v>142</v>
      </c>
      <c r="D22" s="41">
        <v>39237</v>
      </c>
      <c r="E22" s="41">
        <v>39237</v>
      </c>
      <c r="F22" s="41">
        <v>39238</v>
      </c>
      <c r="G22" s="18" t="str">
        <f t="shared" si="0"/>
        <v>Monday</v>
      </c>
      <c r="H22" s="18">
        <v>0</v>
      </c>
      <c r="I22" s="18" t="s">
        <v>1301</v>
      </c>
      <c r="J22" s="42" t="s">
        <v>1649</v>
      </c>
      <c r="K22" s="18">
        <v>0</v>
      </c>
      <c r="L22" s="18">
        <v>16</v>
      </c>
      <c r="M22" s="18">
        <v>914</v>
      </c>
      <c r="N22" s="41">
        <v>39030</v>
      </c>
      <c r="O22" s="41" t="str">
        <f t="shared" si="1"/>
        <v>Thursday</v>
      </c>
      <c r="P22" s="42" t="s">
        <v>1300</v>
      </c>
      <c r="Q22" s="18" t="s">
        <v>804</v>
      </c>
      <c r="R22" s="18" t="s">
        <v>1302</v>
      </c>
    </row>
    <row r="23" spans="1:18">
      <c r="A23" s="18">
        <v>111</v>
      </c>
      <c r="B23" s="18" t="s">
        <v>632</v>
      </c>
      <c r="C23" s="18" t="s">
        <v>142</v>
      </c>
      <c r="D23" s="41">
        <v>40050</v>
      </c>
      <c r="E23" s="41">
        <v>40050</v>
      </c>
      <c r="F23" s="41">
        <v>40051</v>
      </c>
      <c r="G23" s="18" t="str">
        <f t="shared" si="0"/>
        <v>Tuesday</v>
      </c>
      <c r="H23" s="18">
        <v>0</v>
      </c>
      <c r="I23" s="18" t="s">
        <v>1306</v>
      </c>
      <c r="J23" s="42" t="s">
        <v>1650</v>
      </c>
      <c r="K23" s="18">
        <v>0</v>
      </c>
      <c r="L23" s="18">
        <v>456</v>
      </c>
      <c r="M23" s="18">
        <v>6609</v>
      </c>
      <c r="N23" s="41">
        <v>39588</v>
      </c>
      <c r="O23" s="41" t="str">
        <f t="shared" si="1"/>
        <v>Tuesday</v>
      </c>
      <c r="P23" s="42" t="s">
        <v>1303</v>
      </c>
      <c r="Q23" s="18" t="s">
        <v>1304</v>
      </c>
      <c r="R23" s="18" t="s">
        <v>1305</v>
      </c>
    </row>
    <row r="24" spans="1:18">
      <c r="A24" s="18">
        <v>111</v>
      </c>
      <c r="B24" s="18" t="s">
        <v>633</v>
      </c>
      <c r="C24" s="18" t="s">
        <v>142</v>
      </c>
      <c r="D24" s="41">
        <v>40357</v>
      </c>
      <c r="E24" s="41">
        <v>40357</v>
      </c>
      <c r="F24" s="41">
        <v>40357</v>
      </c>
      <c r="G24" s="18" t="str">
        <f t="shared" si="0"/>
        <v>Monday</v>
      </c>
      <c r="H24" s="18">
        <v>0</v>
      </c>
      <c r="I24" s="18" t="s">
        <v>646</v>
      </c>
      <c r="J24" s="42" t="s">
        <v>1651</v>
      </c>
      <c r="K24" s="18">
        <v>0</v>
      </c>
      <c r="L24" s="18">
        <v>88</v>
      </c>
      <c r="M24" s="18">
        <v>2069</v>
      </c>
      <c r="N24" s="41">
        <v>39504</v>
      </c>
      <c r="O24" s="41" t="str">
        <f t="shared" si="1"/>
        <v>Tuesday</v>
      </c>
      <c r="P24" s="42" t="s">
        <v>1307</v>
      </c>
      <c r="Q24" s="18" t="s">
        <v>776</v>
      </c>
      <c r="R24" s="18" t="s">
        <v>1308</v>
      </c>
    </row>
    <row r="25" spans="1:18">
      <c r="A25" s="18">
        <v>112</v>
      </c>
      <c r="B25" s="18" t="s">
        <v>634</v>
      </c>
      <c r="C25" s="18" t="s">
        <v>142</v>
      </c>
      <c r="D25" s="41">
        <v>41260</v>
      </c>
      <c r="E25" s="41">
        <v>41260</v>
      </c>
      <c r="F25" s="41">
        <v>41261</v>
      </c>
      <c r="G25" s="18" t="str">
        <f t="shared" si="0"/>
        <v>Monday</v>
      </c>
      <c r="H25" s="18">
        <v>0</v>
      </c>
      <c r="I25" s="42" t="s">
        <v>1310</v>
      </c>
      <c r="J25" s="42" t="s">
        <v>1652</v>
      </c>
      <c r="K25" s="18">
        <v>0</v>
      </c>
      <c r="L25" s="18">
        <v>36</v>
      </c>
      <c r="M25" s="18">
        <v>1297</v>
      </c>
      <c r="N25" s="41">
        <v>41228</v>
      </c>
      <c r="O25" s="41" t="str">
        <f t="shared" si="1"/>
        <v>Thursday</v>
      </c>
      <c r="P25" s="42" t="s">
        <v>1309</v>
      </c>
      <c r="Q25" s="18" t="s">
        <v>997</v>
      </c>
      <c r="R25" s="18" t="s">
        <v>1311</v>
      </c>
    </row>
    <row r="26" spans="1:18">
      <c r="A26" s="18">
        <v>115</v>
      </c>
      <c r="B26" s="18" t="s">
        <v>638</v>
      </c>
      <c r="C26" s="18" t="s">
        <v>142</v>
      </c>
      <c r="D26" s="41">
        <v>43337</v>
      </c>
      <c r="E26" s="41">
        <v>43337</v>
      </c>
      <c r="F26" s="41">
        <v>43337</v>
      </c>
      <c r="G26" s="18" t="str">
        <f>TEXT(D26,"dddd")</f>
        <v>Saturday</v>
      </c>
      <c r="H26" s="18">
        <v>0</v>
      </c>
      <c r="I26" s="18" t="s">
        <v>642</v>
      </c>
      <c r="J26" s="18" t="s">
        <v>1653</v>
      </c>
      <c r="K26" s="18">
        <v>0</v>
      </c>
      <c r="L26" s="18">
        <v>440</v>
      </c>
      <c r="M26" s="18">
        <v>6497</v>
      </c>
      <c r="N26" s="41">
        <v>42933</v>
      </c>
      <c r="O26" s="41" t="str">
        <f t="shared" si="1"/>
        <v>Monday</v>
      </c>
      <c r="P26" s="42" t="s">
        <v>1312</v>
      </c>
      <c r="Q26" s="18" t="s">
        <v>979</v>
      </c>
      <c r="R26" s="18" t="s">
        <v>1313</v>
      </c>
    </row>
    <row r="27" spans="1:18">
      <c r="A27" s="42">
        <v>106</v>
      </c>
      <c r="B27" s="18" t="s">
        <v>615</v>
      </c>
      <c r="C27" t="s">
        <v>141</v>
      </c>
      <c r="D27" s="44">
        <v>36809</v>
      </c>
      <c r="E27" s="44">
        <v>36809</v>
      </c>
      <c r="F27" s="44">
        <v>36810</v>
      </c>
      <c r="G27" s="18" t="str">
        <f t="shared" si="0"/>
        <v>Tuesday</v>
      </c>
      <c r="H27" s="43">
        <v>0</v>
      </c>
      <c r="I27" s="45" t="s">
        <v>1245</v>
      </c>
      <c r="J27" s="45" t="s">
        <v>1654</v>
      </c>
      <c r="K27" s="18">
        <v>1</v>
      </c>
      <c r="L27">
        <v>1</v>
      </c>
      <c r="M27">
        <v>55</v>
      </c>
      <c r="N27" s="54">
        <v>36558</v>
      </c>
      <c r="O27" s="41" t="str">
        <f t="shared" si="1"/>
        <v>Wednesday</v>
      </c>
      <c r="P27" s="42" t="s">
        <v>1314</v>
      </c>
      <c r="Q27" s="18" t="s">
        <v>804</v>
      </c>
      <c r="R27" s="18" t="s">
        <v>1315</v>
      </c>
    </row>
    <row r="28" spans="1:18">
      <c r="A28" s="42">
        <v>107</v>
      </c>
      <c r="B28" s="18" t="s">
        <v>616</v>
      </c>
      <c r="C28" t="s">
        <v>141</v>
      </c>
      <c r="D28" s="41">
        <v>37039</v>
      </c>
      <c r="E28" s="41">
        <v>37039</v>
      </c>
      <c r="F28" s="41">
        <v>37040</v>
      </c>
      <c r="G28" s="18" t="str">
        <f t="shared" si="0"/>
        <v>Monday</v>
      </c>
      <c r="H28" s="43">
        <v>0</v>
      </c>
      <c r="I28" s="45" t="s">
        <v>1301</v>
      </c>
      <c r="J28" s="45" t="s">
        <v>1655</v>
      </c>
      <c r="K28" s="18">
        <v>1</v>
      </c>
      <c r="L28">
        <v>4</v>
      </c>
      <c r="M28">
        <v>88</v>
      </c>
      <c r="N28" s="54">
        <v>36934</v>
      </c>
      <c r="O28" s="41" t="str">
        <f t="shared" si="1"/>
        <v>Monday</v>
      </c>
      <c r="P28" s="42" t="s">
        <v>1316</v>
      </c>
      <c r="Q28" s="18" t="s">
        <v>1218</v>
      </c>
      <c r="R28" s="18" t="s">
        <v>1317</v>
      </c>
    </row>
    <row r="29" spans="1:18">
      <c r="A29" s="18">
        <v>114</v>
      </c>
      <c r="B29" s="18" t="s">
        <v>636</v>
      </c>
      <c r="C29" t="s">
        <v>141</v>
      </c>
      <c r="D29" s="41">
        <v>42571</v>
      </c>
      <c r="E29" s="41">
        <v>42571</v>
      </c>
      <c r="F29" s="41">
        <v>42571</v>
      </c>
      <c r="G29" s="18" t="str">
        <f t="shared" si="0"/>
        <v>Wednesday</v>
      </c>
      <c r="H29" s="18">
        <v>0</v>
      </c>
      <c r="I29" s="18" t="s">
        <v>1320</v>
      </c>
      <c r="J29" s="18" t="s">
        <v>1656</v>
      </c>
      <c r="K29" s="18">
        <v>1</v>
      </c>
      <c r="L29" s="18">
        <v>1</v>
      </c>
      <c r="M29" s="18">
        <v>228</v>
      </c>
      <c r="N29" s="41">
        <v>42304</v>
      </c>
      <c r="O29" s="41" t="str">
        <f t="shared" si="1"/>
        <v>Tuesday</v>
      </c>
      <c r="P29" s="42" t="s">
        <v>1318</v>
      </c>
      <c r="Q29" s="18" t="s">
        <v>997</v>
      </c>
      <c r="R29" s="18" t="s">
        <v>1319</v>
      </c>
    </row>
    <row r="30" spans="1:18">
      <c r="A30" s="18">
        <v>116</v>
      </c>
      <c r="B30" s="18" t="s">
        <v>639</v>
      </c>
      <c r="C30" t="s">
        <v>141</v>
      </c>
      <c r="D30" s="41">
        <v>43506</v>
      </c>
      <c r="E30" s="41">
        <v>43506</v>
      </c>
      <c r="F30" s="41">
        <v>43507</v>
      </c>
      <c r="G30" s="18" t="str">
        <f t="shared" si="0"/>
        <v>Sunday</v>
      </c>
      <c r="H30" s="18">
        <v>0</v>
      </c>
      <c r="I30" s="18" t="s">
        <v>1323</v>
      </c>
      <c r="J30" s="18" t="s">
        <v>1657</v>
      </c>
      <c r="K30" s="18">
        <v>1</v>
      </c>
      <c r="L30" s="18">
        <v>34</v>
      </c>
      <c r="M30" s="18">
        <v>201</v>
      </c>
      <c r="N30" s="41">
        <v>43451</v>
      </c>
      <c r="O30" s="41" t="str">
        <f t="shared" si="1"/>
        <v>Monday</v>
      </c>
      <c r="P30" s="42" t="s">
        <v>1321</v>
      </c>
      <c r="Q30" s="18" t="s">
        <v>1292</v>
      </c>
      <c r="R30" s="18" t="s">
        <v>1322</v>
      </c>
    </row>
    <row r="31" spans="1:18">
      <c r="A31" s="42">
        <v>106</v>
      </c>
      <c r="B31" s="18" t="s">
        <v>614</v>
      </c>
      <c r="C31" t="s">
        <v>141</v>
      </c>
      <c r="D31" s="44">
        <v>36780</v>
      </c>
      <c r="E31" s="44">
        <v>36780</v>
      </c>
      <c r="F31" s="44">
        <v>36781</v>
      </c>
      <c r="G31" s="18" t="str">
        <f t="shared" si="0"/>
        <v>Monday</v>
      </c>
      <c r="H31" s="43">
        <v>0</v>
      </c>
      <c r="I31" s="45" t="s">
        <v>646</v>
      </c>
      <c r="J31" s="18" t="s">
        <v>1658</v>
      </c>
      <c r="K31" s="18">
        <v>1</v>
      </c>
      <c r="L31">
        <v>0</v>
      </c>
      <c r="M31">
        <v>8</v>
      </c>
      <c r="N31" s="54">
        <v>36484</v>
      </c>
      <c r="O31" s="41" t="str">
        <f t="shared" si="1"/>
        <v>Saturday</v>
      </c>
      <c r="P31" s="42" t="s">
        <v>1324</v>
      </c>
      <c r="Q31" s="18" t="s">
        <v>1325</v>
      </c>
      <c r="R31" s="18" t="s">
        <v>1326</v>
      </c>
    </row>
    <row r="32" spans="1:18">
      <c r="A32" s="42">
        <v>113</v>
      </c>
      <c r="B32" s="18" t="s">
        <v>617</v>
      </c>
      <c r="C32" s="18" t="s">
        <v>142</v>
      </c>
      <c r="D32" s="16">
        <v>41428</v>
      </c>
      <c r="E32" s="16">
        <v>41428</v>
      </c>
      <c r="F32" s="16">
        <v>41428</v>
      </c>
      <c r="G32" s="18" t="str">
        <f t="shared" si="0"/>
        <v>Monday</v>
      </c>
      <c r="H32" s="46">
        <v>0</v>
      </c>
      <c r="I32" s="47" t="s">
        <v>645</v>
      </c>
      <c r="J32" s="47" t="s">
        <v>1659</v>
      </c>
      <c r="K32" s="18">
        <v>1</v>
      </c>
      <c r="L32">
        <v>43</v>
      </c>
      <c r="M32">
        <v>1176</v>
      </c>
      <c r="N32" s="55">
        <v>40224</v>
      </c>
      <c r="O32" s="41" t="str">
        <f t="shared" si="1"/>
        <v>Monday</v>
      </c>
      <c r="P32" s="42" t="s">
        <v>1327</v>
      </c>
      <c r="Q32" s="18" t="s">
        <v>798</v>
      </c>
      <c r="R32" s="18" t="s">
        <v>1328</v>
      </c>
    </row>
    <row r="106" spans="2:6">
      <c r="B106" s="48"/>
      <c r="E106" s="41" t="s">
        <v>190</v>
      </c>
      <c r="F106" s="41" t="s">
        <v>190</v>
      </c>
    </row>
    <row r="107" spans="2:6">
      <c r="B107" s="48"/>
    </row>
    <row r="108" spans="2:6">
      <c r="B108" s="48"/>
    </row>
    <row r="109" spans="2:6">
      <c r="B109" s="48"/>
    </row>
    <row r="110" spans="2:6">
      <c r="B110" s="48"/>
    </row>
    <row r="111" spans="2:6">
      <c r="B111" s="48"/>
    </row>
    <row r="112" spans="2:6">
      <c r="B112" s="48"/>
    </row>
    <row r="113" spans="2:2">
      <c r="B113" s="48"/>
    </row>
    <row r="114" spans="2:2">
      <c r="B114" s="48"/>
    </row>
    <row r="115" spans="2:2">
      <c r="B115" s="48"/>
    </row>
    <row r="116" spans="2:2">
      <c r="B116" s="48"/>
    </row>
    <row r="117" spans="2:2">
      <c r="B117" s="48"/>
    </row>
    <row r="118" spans="2:2">
      <c r="B118" s="48"/>
    </row>
    <row r="119" spans="2:2">
      <c r="B119" s="48"/>
    </row>
    <row r="120" spans="2:2">
      <c r="B120" s="48"/>
    </row>
    <row r="121" spans="2:2">
      <c r="B121" s="48"/>
    </row>
    <row r="122" spans="2:2">
      <c r="B122" s="48"/>
    </row>
    <row r="123" spans="2:2">
      <c r="B123" s="48"/>
    </row>
    <row r="124" spans="2:2">
      <c r="B124" s="48"/>
    </row>
    <row r="125" spans="2:2">
      <c r="B125" s="48"/>
    </row>
    <row r="126" spans="2:2">
      <c r="B126" s="48"/>
    </row>
    <row r="127" spans="2:2">
      <c r="B127" s="48"/>
    </row>
    <row r="128" spans="2:2">
      <c r="B128" s="48"/>
    </row>
    <row r="129" spans="2:2">
      <c r="B129" s="48"/>
    </row>
    <row r="130" spans="2:2">
      <c r="B130" s="48"/>
    </row>
    <row r="131" spans="2:2">
      <c r="B131" s="48"/>
    </row>
    <row r="132" spans="2:2">
      <c r="B132" s="48"/>
    </row>
    <row r="133" spans="2:2">
      <c r="B133" s="48"/>
    </row>
    <row r="134" spans="2:2">
      <c r="B134" s="48"/>
    </row>
    <row r="135" spans="2:2">
      <c r="B135" s="48"/>
    </row>
    <row r="136" spans="2:2">
      <c r="B136" s="48"/>
    </row>
  </sheetData>
  <autoFilter ref="D1:R1" xr:uid="{D159C9F8-3E24-1441-ADDF-75F5B58262BA}"/>
  <pageMargins left="0.7" right="0.7" top="0.75" bottom="0.75" header="0.3" footer="0.3"/>
  <pageSetup paperSize="9" scale="64" fitToHeight="0"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58860-004E-9244-BD3B-C4B65CEB4EC1}">
  <dimension ref="A1:G216"/>
  <sheetViews>
    <sheetView zoomScaleNormal="100" workbookViewId="0">
      <pane ySplit="1" topLeftCell="A5" activePane="bottomLeft" state="frozen"/>
      <selection pane="bottomLeft" activeCell="C23" sqref="C23"/>
    </sheetView>
  </sheetViews>
  <sheetFormatPr baseColWidth="10" defaultColWidth="10.83203125" defaultRowHeight="15"/>
  <cols>
    <col min="1" max="1" width="31.33203125" style="3" bestFit="1" customWidth="1"/>
    <col min="2" max="3" width="17.1640625" style="2" customWidth="1"/>
    <col min="4" max="16384" width="10.83203125" style="3"/>
  </cols>
  <sheetData>
    <row r="1" spans="1:7" s="88" customFormat="1">
      <c r="A1" s="86" t="s">
        <v>1</v>
      </c>
      <c r="B1" s="89" t="s">
        <v>417</v>
      </c>
      <c r="C1" s="89" t="s">
        <v>737</v>
      </c>
      <c r="D1" s="86" t="s">
        <v>213</v>
      </c>
      <c r="E1" s="86" t="s">
        <v>214</v>
      </c>
      <c r="F1" s="86" t="s">
        <v>215</v>
      </c>
      <c r="G1" s="86" t="s">
        <v>212</v>
      </c>
    </row>
    <row r="2" spans="1:7">
      <c r="A2" s="3" t="s">
        <v>2</v>
      </c>
      <c r="B2" s="34">
        <v>39816</v>
      </c>
      <c r="C2" s="34">
        <v>42155</v>
      </c>
      <c r="D2" s="5" t="s">
        <v>190</v>
      </c>
      <c r="E2" s="5" t="s">
        <v>418</v>
      </c>
      <c r="F2" s="5" t="s">
        <v>190</v>
      </c>
      <c r="G2" s="7">
        <v>20914</v>
      </c>
    </row>
    <row r="3" spans="1:7">
      <c r="A3" s="3" t="s">
        <v>3</v>
      </c>
      <c r="B3" s="34">
        <v>30319</v>
      </c>
      <c r="C3" s="34">
        <v>40546</v>
      </c>
      <c r="D3" s="5" t="s">
        <v>190</v>
      </c>
      <c r="E3" s="5" t="s">
        <v>419</v>
      </c>
      <c r="F3" s="5" t="s">
        <v>190</v>
      </c>
      <c r="G3" s="7">
        <v>15083</v>
      </c>
    </row>
    <row r="4" spans="1:7">
      <c r="A4" s="3" t="s">
        <v>4</v>
      </c>
      <c r="B4" s="34">
        <v>39816</v>
      </c>
      <c r="C4" s="34">
        <v>42738</v>
      </c>
      <c r="D4" s="5" t="s">
        <v>190</v>
      </c>
      <c r="E4" s="5" t="s">
        <v>420</v>
      </c>
      <c r="F4" s="5" t="s">
        <v>190</v>
      </c>
      <c r="G4" s="7">
        <v>20908</v>
      </c>
    </row>
    <row r="5" spans="1:7">
      <c r="A5" s="3" t="s">
        <v>5</v>
      </c>
      <c r="B5" s="34">
        <v>40001</v>
      </c>
      <c r="C5" s="34">
        <v>43102</v>
      </c>
      <c r="D5" s="5" t="s">
        <v>421</v>
      </c>
      <c r="E5" s="5" t="s">
        <v>190</v>
      </c>
      <c r="F5" s="5" t="s">
        <v>190</v>
      </c>
      <c r="G5" s="7">
        <v>40904</v>
      </c>
    </row>
    <row r="6" spans="1:7">
      <c r="A6" s="3" t="s">
        <v>6</v>
      </c>
      <c r="B6" s="35">
        <v>33972</v>
      </c>
      <c r="C6" s="35" t="s">
        <v>190</v>
      </c>
      <c r="D6" s="5" t="s">
        <v>190</v>
      </c>
      <c r="E6" s="5" t="s">
        <v>422</v>
      </c>
      <c r="F6" s="5" t="s">
        <v>190</v>
      </c>
      <c r="G6" s="7">
        <v>29337</v>
      </c>
    </row>
    <row r="7" spans="1:7">
      <c r="A7" s="3" t="s">
        <v>7</v>
      </c>
      <c r="B7" s="35">
        <v>36163</v>
      </c>
      <c r="C7" s="35">
        <v>40715</v>
      </c>
      <c r="D7" s="5" t="s">
        <v>190</v>
      </c>
      <c r="E7" s="5" t="s">
        <v>423</v>
      </c>
      <c r="F7" s="5" t="s">
        <v>190</v>
      </c>
      <c r="G7" s="7">
        <v>29926</v>
      </c>
    </row>
    <row r="8" spans="1:7">
      <c r="A8" s="3" t="s">
        <v>8</v>
      </c>
      <c r="B8" s="35">
        <v>40546</v>
      </c>
      <c r="C8" s="35">
        <v>41277</v>
      </c>
      <c r="D8" s="5" t="s">
        <v>190</v>
      </c>
      <c r="E8" s="5" t="s">
        <v>424</v>
      </c>
      <c r="F8" s="5" t="s">
        <v>190</v>
      </c>
      <c r="G8" s="7">
        <v>21104</v>
      </c>
    </row>
    <row r="9" spans="1:7">
      <c r="A9" s="3" t="s">
        <v>9</v>
      </c>
      <c r="B9" s="35">
        <v>34072</v>
      </c>
      <c r="C9" s="35" t="s">
        <v>190</v>
      </c>
      <c r="D9" s="5" t="s">
        <v>190</v>
      </c>
      <c r="E9" s="5" t="s">
        <v>425</v>
      </c>
      <c r="F9" s="5" t="s">
        <v>190</v>
      </c>
      <c r="G9" s="7">
        <v>29368</v>
      </c>
    </row>
    <row r="10" spans="1:7">
      <c r="A10" s="21" t="s">
        <v>615</v>
      </c>
      <c r="B10" s="35">
        <v>28128</v>
      </c>
      <c r="C10" s="35" t="s">
        <v>190</v>
      </c>
      <c r="D10" s="49" t="s">
        <v>190</v>
      </c>
      <c r="E10" s="21" t="s">
        <v>675</v>
      </c>
      <c r="F10" s="49" t="s">
        <v>190</v>
      </c>
      <c r="G10" s="3">
        <v>14458</v>
      </c>
    </row>
    <row r="11" spans="1:7">
      <c r="A11" s="3" t="s">
        <v>10</v>
      </c>
      <c r="B11" s="35">
        <v>37624</v>
      </c>
      <c r="C11" s="35">
        <v>42735</v>
      </c>
      <c r="D11" s="5" t="s">
        <v>190</v>
      </c>
      <c r="E11" s="5" t="s">
        <v>426</v>
      </c>
      <c r="F11" s="5" t="s">
        <v>190</v>
      </c>
      <c r="G11" s="7">
        <v>20331</v>
      </c>
    </row>
    <row r="12" spans="1:7">
      <c r="A12" s="3" t="s">
        <v>11</v>
      </c>
      <c r="B12" s="35">
        <v>35433</v>
      </c>
      <c r="C12" s="35">
        <v>40546</v>
      </c>
      <c r="D12" s="5" t="s">
        <v>190</v>
      </c>
      <c r="E12" s="5" t="s">
        <v>427</v>
      </c>
      <c r="F12" s="5" t="s">
        <v>190</v>
      </c>
      <c r="G12" s="7">
        <v>29733</v>
      </c>
    </row>
    <row r="13" spans="1:7">
      <c r="A13" s="3" t="s">
        <v>210</v>
      </c>
      <c r="B13" s="35">
        <v>38355</v>
      </c>
      <c r="C13" s="35" t="s">
        <v>190</v>
      </c>
      <c r="D13" s="6" t="s">
        <v>190</v>
      </c>
      <c r="E13" s="6" t="s">
        <v>736</v>
      </c>
      <c r="F13" s="6" t="s">
        <v>190</v>
      </c>
      <c r="G13" s="7">
        <v>20535</v>
      </c>
    </row>
    <row r="14" spans="1:7">
      <c r="A14" s="3" t="s">
        <v>12</v>
      </c>
      <c r="B14" s="35">
        <v>34702</v>
      </c>
      <c r="C14" s="35">
        <v>42544</v>
      </c>
      <c r="D14" s="5" t="s">
        <v>190</v>
      </c>
      <c r="E14" s="5" t="s">
        <v>428</v>
      </c>
      <c r="F14" s="5" t="s">
        <v>190</v>
      </c>
      <c r="G14" s="7">
        <v>29559</v>
      </c>
    </row>
    <row r="15" spans="1:7">
      <c r="A15" s="3" t="s">
        <v>13</v>
      </c>
      <c r="B15" s="35">
        <v>25936</v>
      </c>
      <c r="C15" s="35">
        <v>42738</v>
      </c>
      <c r="D15" s="5" t="s">
        <v>190</v>
      </c>
      <c r="E15" s="5" t="s">
        <v>429</v>
      </c>
      <c r="F15" s="5" t="s">
        <v>190</v>
      </c>
      <c r="G15" s="7">
        <v>13035</v>
      </c>
    </row>
    <row r="16" spans="1:7">
      <c r="A16" s="3" t="s">
        <v>14</v>
      </c>
      <c r="B16" s="34">
        <v>33241</v>
      </c>
      <c r="C16" s="34">
        <v>39085</v>
      </c>
      <c r="D16" s="5" t="s">
        <v>190</v>
      </c>
      <c r="E16" s="5" t="s">
        <v>430</v>
      </c>
      <c r="F16" s="5" t="s">
        <v>190</v>
      </c>
      <c r="G16" s="7">
        <v>29135</v>
      </c>
    </row>
    <row r="17" spans="1:7">
      <c r="A17" s="3" t="s">
        <v>15</v>
      </c>
      <c r="B17" s="36">
        <v>28858</v>
      </c>
      <c r="C17" s="36">
        <v>41642</v>
      </c>
      <c r="D17" s="5" t="s">
        <v>190</v>
      </c>
      <c r="E17" s="6" t="s">
        <v>431</v>
      </c>
      <c r="F17" s="5" t="s">
        <v>190</v>
      </c>
      <c r="G17" s="7">
        <v>14644</v>
      </c>
    </row>
    <row r="18" spans="1:7">
      <c r="A18" s="49" t="s">
        <v>624</v>
      </c>
      <c r="B18" s="35">
        <v>34702</v>
      </c>
      <c r="C18" s="35" t="s">
        <v>190</v>
      </c>
      <c r="D18" s="22" t="s">
        <v>190</v>
      </c>
      <c r="E18" s="22" t="s">
        <v>647</v>
      </c>
      <c r="F18" s="22" t="s">
        <v>190</v>
      </c>
      <c r="G18" s="22">
        <v>29513</v>
      </c>
    </row>
    <row r="19" spans="1:7">
      <c r="A19" s="3" t="s">
        <v>16</v>
      </c>
      <c r="B19" s="35">
        <v>25936</v>
      </c>
      <c r="C19" s="35">
        <v>41565</v>
      </c>
      <c r="D19" s="5" t="s">
        <v>190</v>
      </c>
      <c r="E19" s="5" t="s">
        <v>432</v>
      </c>
      <c r="F19" s="5" t="s">
        <v>190</v>
      </c>
      <c r="G19" s="7">
        <v>13047</v>
      </c>
    </row>
    <row r="20" spans="1:7">
      <c r="A20" s="13" t="s">
        <v>17</v>
      </c>
      <c r="B20" s="35">
        <v>26667</v>
      </c>
      <c r="C20" s="35">
        <v>39434</v>
      </c>
      <c r="D20" s="5" t="s">
        <v>433</v>
      </c>
      <c r="E20" s="5" t="s">
        <v>190</v>
      </c>
      <c r="F20" s="5" t="s">
        <v>190</v>
      </c>
      <c r="G20" s="7">
        <v>14031</v>
      </c>
    </row>
    <row r="21" spans="1:7">
      <c r="A21" s="3" t="s">
        <v>18</v>
      </c>
      <c r="B21" s="34">
        <v>41277</v>
      </c>
      <c r="C21" s="34">
        <v>43738</v>
      </c>
      <c r="D21" s="5" t="s">
        <v>190</v>
      </c>
      <c r="E21" s="6" t="s">
        <v>434</v>
      </c>
      <c r="F21" s="5" t="s">
        <v>190</v>
      </c>
      <c r="G21" s="7">
        <v>21345</v>
      </c>
    </row>
    <row r="22" spans="1:7">
      <c r="A22" s="3" t="s">
        <v>19</v>
      </c>
      <c r="B22" s="34">
        <v>27397</v>
      </c>
      <c r="C22" s="34">
        <v>40546</v>
      </c>
      <c r="D22" s="5" t="s">
        <v>435</v>
      </c>
      <c r="E22" s="5" t="s">
        <v>190</v>
      </c>
      <c r="F22" s="5" t="s">
        <v>436</v>
      </c>
      <c r="G22" s="7">
        <v>14213</v>
      </c>
    </row>
    <row r="23" spans="1:7">
      <c r="A23" s="3" t="s">
        <v>20</v>
      </c>
      <c r="B23" s="35">
        <v>39816</v>
      </c>
      <c r="C23" s="35">
        <v>40583</v>
      </c>
      <c r="D23" s="5" t="s">
        <v>190</v>
      </c>
      <c r="E23" s="5" t="s">
        <v>437</v>
      </c>
      <c r="F23" s="5" t="s">
        <v>190</v>
      </c>
      <c r="G23" s="7">
        <v>20936</v>
      </c>
    </row>
    <row r="24" spans="1:7">
      <c r="A24" s="3" t="s">
        <v>21</v>
      </c>
      <c r="B24" s="34">
        <v>43199</v>
      </c>
      <c r="C24" s="34" t="s">
        <v>190</v>
      </c>
      <c r="D24" s="5" t="s">
        <v>438</v>
      </c>
      <c r="E24" s="5" t="s">
        <v>190</v>
      </c>
      <c r="F24" s="5" t="s">
        <v>190</v>
      </c>
      <c r="G24" s="5" t="s">
        <v>190</v>
      </c>
    </row>
    <row r="25" spans="1:7">
      <c r="A25" s="3" t="s">
        <v>22</v>
      </c>
      <c r="B25" s="35">
        <v>32511</v>
      </c>
      <c r="C25" s="35">
        <v>41277</v>
      </c>
      <c r="D25" s="5" t="s">
        <v>190</v>
      </c>
      <c r="E25" s="5" t="s">
        <v>439</v>
      </c>
      <c r="F25" s="5" t="s">
        <v>190</v>
      </c>
      <c r="G25" s="7">
        <v>15627</v>
      </c>
    </row>
    <row r="26" spans="1:7">
      <c r="A26" s="3" t="s">
        <v>23</v>
      </c>
      <c r="B26" s="35">
        <v>32511</v>
      </c>
      <c r="C26" s="35">
        <v>39085</v>
      </c>
      <c r="D26" s="6" t="s">
        <v>440</v>
      </c>
      <c r="E26" s="5" t="s">
        <v>190</v>
      </c>
      <c r="F26" s="5" t="s">
        <v>190</v>
      </c>
      <c r="G26" s="7">
        <v>15701</v>
      </c>
    </row>
    <row r="27" spans="1:7">
      <c r="A27" s="3" t="s">
        <v>24</v>
      </c>
      <c r="B27" s="35">
        <v>33972</v>
      </c>
      <c r="C27" s="35">
        <v>42738</v>
      </c>
      <c r="D27" s="5" t="s">
        <v>441</v>
      </c>
      <c r="E27" s="5" t="s">
        <v>442</v>
      </c>
      <c r="F27" s="5" t="s">
        <v>190</v>
      </c>
      <c r="G27" s="7">
        <v>29328</v>
      </c>
    </row>
    <row r="28" spans="1:7">
      <c r="A28" s="21" t="s">
        <v>626</v>
      </c>
      <c r="B28" s="35">
        <v>32623</v>
      </c>
      <c r="C28" s="35" t="s">
        <v>190</v>
      </c>
      <c r="D28" s="22" t="s">
        <v>648</v>
      </c>
      <c r="E28" s="22" t="s">
        <v>649</v>
      </c>
      <c r="F28" s="22" t="s">
        <v>190</v>
      </c>
      <c r="G28" s="22">
        <v>15633</v>
      </c>
    </row>
    <row r="29" spans="1:7">
      <c r="A29" s="3" t="s">
        <v>25</v>
      </c>
      <c r="B29" s="34">
        <v>33972</v>
      </c>
      <c r="C29" s="34">
        <v>39085</v>
      </c>
      <c r="D29" s="5" t="s">
        <v>190</v>
      </c>
      <c r="E29" s="5" t="s">
        <v>443</v>
      </c>
      <c r="F29" s="5" t="s">
        <v>444</v>
      </c>
      <c r="G29" s="7">
        <v>29344</v>
      </c>
    </row>
    <row r="30" spans="1:7">
      <c r="A30" s="21" t="s">
        <v>634</v>
      </c>
      <c r="B30" s="35">
        <v>21783</v>
      </c>
      <c r="C30" s="35" t="s">
        <v>190</v>
      </c>
      <c r="D30" s="22" t="s">
        <v>650</v>
      </c>
      <c r="E30" s="22" t="s">
        <v>190</v>
      </c>
      <c r="F30" s="22" t="s">
        <v>190</v>
      </c>
      <c r="G30" s="22">
        <v>4812</v>
      </c>
    </row>
    <row r="31" spans="1:7">
      <c r="A31" s="3" t="s">
        <v>26</v>
      </c>
      <c r="B31" s="34">
        <v>36309</v>
      </c>
      <c r="C31" s="34">
        <v>42738</v>
      </c>
      <c r="D31" s="5" t="s">
        <v>445</v>
      </c>
      <c r="E31" s="5" t="s">
        <v>190</v>
      </c>
      <c r="F31" s="5" t="s">
        <v>190</v>
      </c>
      <c r="G31" s="7">
        <v>29918</v>
      </c>
    </row>
    <row r="32" spans="1:7">
      <c r="A32" s="3" t="s">
        <v>27</v>
      </c>
      <c r="B32" s="35">
        <v>40546</v>
      </c>
      <c r="C32" s="35">
        <v>41277</v>
      </c>
      <c r="D32" s="5" t="s">
        <v>190</v>
      </c>
      <c r="E32" s="5" t="s">
        <v>446</v>
      </c>
      <c r="F32" s="5" t="s">
        <v>190</v>
      </c>
      <c r="G32" s="7">
        <v>21121</v>
      </c>
    </row>
    <row r="33" spans="1:7">
      <c r="A33" s="3" t="s">
        <v>202</v>
      </c>
      <c r="B33" s="35">
        <v>40546</v>
      </c>
      <c r="C33" s="35" t="s">
        <v>190</v>
      </c>
      <c r="D33" s="6" t="s">
        <v>190</v>
      </c>
      <c r="E33" s="6" t="s">
        <v>591</v>
      </c>
      <c r="F33" s="6" t="s">
        <v>190</v>
      </c>
      <c r="G33" s="7">
        <v>21105</v>
      </c>
    </row>
    <row r="34" spans="1:7">
      <c r="A34" s="3" t="s">
        <v>28</v>
      </c>
      <c r="B34" s="35">
        <v>36163</v>
      </c>
      <c r="C34" s="35">
        <v>40758</v>
      </c>
      <c r="D34" s="5" t="s">
        <v>190</v>
      </c>
      <c r="E34" s="5" t="s">
        <v>447</v>
      </c>
      <c r="F34" s="5" t="s">
        <v>190</v>
      </c>
      <c r="G34" s="7">
        <v>29931</v>
      </c>
    </row>
    <row r="35" spans="1:7">
      <c r="A35" s="3" t="s">
        <v>29</v>
      </c>
      <c r="B35" s="35">
        <v>38355</v>
      </c>
      <c r="C35" s="35" t="s">
        <v>190</v>
      </c>
      <c r="D35" s="5" t="s">
        <v>190</v>
      </c>
      <c r="E35" s="5" t="s">
        <v>448</v>
      </c>
      <c r="F35" s="5" t="s">
        <v>190</v>
      </c>
      <c r="G35" s="7">
        <v>20504</v>
      </c>
    </row>
    <row r="36" spans="1:7">
      <c r="A36" s="3" t="s">
        <v>30</v>
      </c>
      <c r="B36" s="34">
        <v>26729</v>
      </c>
      <c r="C36" s="34" t="s">
        <v>190</v>
      </c>
      <c r="D36" s="5" t="s">
        <v>190</v>
      </c>
      <c r="E36" s="5" t="s">
        <v>449</v>
      </c>
      <c r="F36" s="5" t="s">
        <v>190</v>
      </c>
      <c r="G36" s="7">
        <v>14066</v>
      </c>
    </row>
    <row r="37" spans="1:7">
      <c r="A37" s="3" t="s">
        <v>31</v>
      </c>
      <c r="B37" s="34">
        <v>36163</v>
      </c>
      <c r="C37" s="34">
        <v>39085</v>
      </c>
      <c r="D37" s="5" t="s">
        <v>190</v>
      </c>
      <c r="E37" s="5" t="s">
        <v>450</v>
      </c>
      <c r="F37" s="5" t="s">
        <v>190</v>
      </c>
      <c r="G37" s="7">
        <v>29933</v>
      </c>
    </row>
    <row r="38" spans="1:7">
      <c r="A38" s="3" t="s">
        <v>32</v>
      </c>
      <c r="B38" s="35">
        <v>32511</v>
      </c>
      <c r="C38" s="35">
        <v>40974</v>
      </c>
      <c r="D38" s="5" t="s">
        <v>190</v>
      </c>
      <c r="E38" s="5" t="s">
        <v>451</v>
      </c>
      <c r="F38" s="5" t="s">
        <v>190</v>
      </c>
      <c r="G38" s="7">
        <v>15619</v>
      </c>
    </row>
    <row r="39" spans="1:7">
      <c r="A39" s="21" t="s">
        <v>637</v>
      </c>
      <c r="B39" s="35">
        <v>31780</v>
      </c>
      <c r="C39" s="35" t="s">
        <v>190</v>
      </c>
      <c r="D39" s="22" t="s">
        <v>190</v>
      </c>
      <c r="E39" s="22" t="s">
        <v>651</v>
      </c>
      <c r="F39" s="22" t="s">
        <v>190</v>
      </c>
      <c r="G39" s="22">
        <v>15444</v>
      </c>
    </row>
    <row r="40" spans="1:7">
      <c r="A40" s="3" t="s">
        <v>33</v>
      </c>
      <c r="B40" s="34">
        <v>39816</v>
      </c>
      <c r="C40" s="34">
        <v>43843</v>
      </c>
      <c r="D40" s="5" t="s">
        <v>190</v>
      </c>
      <c r="E40" s="5" t="s">
        <v>452</v>
      </c>
      <c r="F40" s="5" t="s">
        <v>190</v>
      </c>
      <c r="G40" s="7">
        <v>20963</v>
      </c>
    </row>
    <row r="41" spans="1:7">
      <c r="A41" s="3" t="s">
        <v>593</v>
      </c>
      <c r="B41" s="35">
        <v>33972</v>
      </c>
      <c r="C41" s="35">
        <v>40546</v>
      </c>
      <c r="D41" s="6" t="s">
        <v>190</v>
      </c>
      <c r="E41" s="6" t="s">
        <v>592</v>
      </c>
      <c r="F41" s="6" t="s">
        <v>190</v>
      </c>
      <c r="G41" s="7">
        <v>29384</v>
      </c>
    </row>
    <row r="42" spans="1:7">
      <c r="A42" s="3" t="s">
        <v>34</v>
      </c>
      <c r="B42" s="34">
        <v>33972</v>
      </c>
      <c r="C42" s="34" t="s">
        <v>190</v>
      </c>
      <c r="D42" s="5" t="s">
        <v>190</v>
      </c>
      <c r="E42" s="5" t="s">
        <v>453</v>
      </c>
      <c r="F42" s="5" t="s">
        <v>190</v>
      </c>
      <c r="G42" s="7">
        <v>39305</v>
      </c>
    </row>
    <row r="43" spans="1:7">
      <c r="A43" s="3" t="s">
        <v>35</v>
      </c>
      <c r="B43" s="34">
        <v>30319</v>
      </c>
      <c r="C43" s="34">
        <v>41277</v>
      </c>
      <c r="D43" s="5" t="s">
        <v>190</v>
      </c>
      <c r="E43" s="5" t="s">
        <v>454</v>
      </c>
      <c r="F43" s="5" t="s">
        <v>190</v>
      </c>
      <c r="G43" s="7">
        <v>15072</v>
      </c>
    </row>
    <row r="44" spans="1:7">
      <c r="A44" s="3" t="s">
        <v>36</v>
      </c>
      <c r="B44" s="34">
        <v>36894</v>
      </c>
      <c r="C44" s="34">
        <v>38355</v>
      </c>
      <c r="D44" s="5" t="s">
        <v>190</v>
      </c>
      <c r="E44" s="5" t="s">
        <v>455</v>
      </c>
      <c r="F44" s="5" t="s">
        <v>190</v>
      </c>
      <c r="G44" s="7">
        <v>20142</v>
      </c>
    </row>
    <row r="45" spans="1:7">
      <c r="A45" s="21" t="s">
        <v>632</v>
      </c>
      <c r="B45" s="35">
        <v>22956</v>
      </c>
      <c r="C45" s="35" t="s">
        <v>190</v>
      </c>
      <c r="D45" s="22" t="s">
        <v>652</v>
      </c>
      <c r="E45" s="22" t="s">
        <v>190</v>
      </c>
      <c r="F45" s="22" t="s">
        <v>190</v>
      </c>
      <c r="G45" s="22">
        <v>10808</v>
      </c>
    </row>
    <row r="46" spans="1:7">
      <c r="A46" s="21" t="s">
        <v>640</v>
      </c>
      <c r="B46" s="35">
        <v>35171</v>
      </c>
      <c r="C46" s="35" t="s">
        <v>190</v>
      </c>
      <c r="D46" s="22" t="s">
        <v>190</v>
      </c>
      <c r="E46" s="22" t="s">
        <v>653</v>
      </c>
      <c r="F46" s="22" t="s">
        <v>190</v>
      </c>
      <c r="G46" s="22">
        <v>29587</v>
      </c>
    </row>
    <row r="47" spans="1:7">
      <c r="A47" s="3" t="s">
        <v>37</v>
      </c>
      <c r="B47" s="35">
        <v>41277</v>
      </c>
      <c r="C47" s="35">
        <v>43468</v>
      </c>
      <c r="D47" s="5" t="s">
        <v>190</v>
      </c>
      <c r="E47" s="5" t="s">
        <v>456</v>
      </c>
      <c r="F47" s="5" t="s">
        <v>190</v>
      </c>
      <c r="G47" s="7">
        <v>21316</v>
      </c>
    </row>
    <row r="48" spans="1:7">
      <c r="A48" s="3" t="s">
        <v>38</v>
      </c>
      <c r="B48" s="34">
        <v>39816</v>
      </c>
      <c r="C48" s="34">
        <v>40245</v>
      </c>
      <c r="D48" s="5" t="s">
        <v>190</v>
      </c>
      <c r="E48" s="5" t="s">
        <v>457</v>
      </c>
      <c r="F48" s="5" t="s">
        <v>190</v>
      </c>
      <c r="G48" s="7">
        <v>20937</v>
      </c>
    </row>
    <row r="49" spans="1:7">
      <c r="A49" s="21" t="s">
        <v>641</v>
      </c>
      <c r="B49" s="35">
        <v>25936</v>
      </c>
      <c r="C49" s="35" t="s">
        <v>190</v>
      </c>
      <c r="D49" s="49" t="s">
        <v>190</v>
      </c>
      <c r="E49" s="49" t="s">
        <v>654</v>
      </c>
      <c r="F49" s="49" t="s">
        <v>190</v>
      </c>
      <c r="G49" s="22">
        <v>13042</v>
      </c>
    </row>
    <row r="50" spans="1:7">
      <c r="A50" s="3" t="s">
        <v>590</v>
      </c>
      <c r="B50" s="35">
        <v>34464</v>
      </c>
      <c r="C50" s="35" t="s">
        <v>190</v>
      </c>
      <c r="D50" s="6" t="s">
        <v>190</v>
      </c>
      <c r="E50" s="6" t="s">
        <v>611</v>
      </c>
      <c r="F50" s="6" t="s">
        <v>190</v>
      </c>
      <c r="G50" s="7">
        <v>29393</v>
      </c>
    </row>
    <row r="51" spans="1:7">
      <c r="A51" s="21" t="s">
        <v>617</v>
      </c>
      <c r="B51" s="35">
        <v>30319</v>
      </c>
      <c r="C51" s="35" t="s">
        <v>190</v>
      </c>
      <c r="D51" t="s">
        <v>676</v>
      </c>
      <c r="E51" s="22" t="s">
        <v>190</v>
      </c>
      <c r="F51" s="22" t="s">
        <v>190</v>
      </c>
      <c r="G51" s="23">
        <v>14914</v>
      </c>
    </row>
    <row r="52" spans="1:7">
      <c r="A52" s="3" t="s">
        <v>39</v>
      </c>
      <c r="B52" s="34">
        <v>32763</v>
      </c>
      <c r="C52" s="34">
        <v>37624</v>
      </c>
      <c r="D52" s="5" t="s">
        <v>190</v>
      </c>
      <c r="E52" s="5" t="s">
        <v>458</v>
      </c>
      <c r="F52" s="5" t="s">
        <v>190</v>
      </c>
      <c r="G52" s="8">
        <v>15635</v>
      </c>
    </row>
    <row r="53" spans="1:7">
      <c r="A53" s="3" t="s">
        <v>40</v>
      </c>
      <c r="B53" s="35">
        <v>36163</v>
      </c>
      <c r="C53" s="35">
        <v>42007</v>
      </c>
      <c r="D53" s="5" t="s">
        <v>190</v>
      </c>
      <c r="E53" s="6" t="s">
        <v>459</v>
      </c>
      <c r="F53" s="5" t="s">
        <v>190</v>
      </c>
      <c r="G53" s="7">
        <v>29905</v>
      </c>
    </row>
    <row r="54" spans="1:7">
      <c r="A54" s="3" t="s">
        <v>41</v>
      </c>
      <c r="B54" s="34">
        <v>33952</v>
      </c>
      <c r="C54" s="34">
        <v>41277</v>
      </c>
      <c r="D54" s="5" t="s">
        <v>460</v>
      </c>
      <c r="E54" s="5" t="s">
        <v>190</v>
      </c>
      <c r="F54" s="5" t="s">
        <v>190</v>
      </c>
      <c r="G54" s="7">
        <v>15502</v>
      </c>
    </row>
    <row r="55" spans="1:7">
      <c r="A55" s="3" t="s">
        <v>42</v>
      </c>
      <c r="B55" s="35">
        <v>33547</v>
      </c>
      <c r="C55" s="35">
        <v>39085</v>
      </c>
      <c r="D55" s="5" t="s">
        <v>461</v>
      </c>
      <c r="E55" s="5" t="s">
        <v>462</v>
      </c>
      <c r="F55" s="5" t="s">
        <v>463</v>
      </c>
      <c r="G55" s="7">
        <v>29148</v>
      </c>
    </row>
    <row r="56" spans="1:7">
      <c r="A56" s="3" t="s">
        <v>43</v>
      </c>
      <c r="B56" s="34">
        <v>34702</v>
      </c>
      <c r="C56" s="34">
        <v>39816</v>
      </c>
      <c r="D56" s="5" t="s">
        <v>190</v>
      </c>
      <c r="E56" s="5" t="s">
        <v>464</v>
      </c>
      <c r="F56" s="5" t="s">
        <v>190</v>
      </c>
      <c r="G56" s="7">
        <v>29516</v>
      </c>
    </row>
    <row r="57" spans="1:7">
      <c r="A57" s="3" t="s">
        <v>44</v>
      </c>
      <c r="B57" s="34">
        <v>35829</v>
      </c>
      <c r="C57" s="34" t="s">
        <v>190</v>
      </c>
      <c r="D57" s="5" t="s">
        <v>190</v>
      </c>
      <c r="E57" s="6" t="s">
        <v>465</v>
      </c>
      <c r="F57" s="5" t="s">
        <v>190</v>
      </c>
      <c r="G57" s="7">
        <v>29776</v>
      </c>
    </row>
    <row r="58" spans="1:7">
      <c r="A58" s="3" t="s">
        <v>45</v>
      </c>
      <c r="B58" s="35">
        <v>29589</v>
      </c>
      <c r="C58" s="35" t="s">
        <v>190</v>
      </c>
      <c r="D58" s="5" t="s">
        <v>190</v>
      </c>
      <c r="E58" s="6" t="s">
        <v>466</v>
      </c>
      <c r="F58" s="5" t="s">
        <v>190</v>
      </c>
      <c r="G58" s="7">
        <v>14854</v>
      </c>
    </row>
    <row r="59" spans="1:7">
      <c r="A59" s="3" t="s">
        <v>46</v>
      </c>
      <c r="B59" s="35">
        <v>30319</v>
      </c>
      <c r="C59" s="35">
        <v>42738</v>
      </c>
      <c r="D59" s="5" t="s">
        <v>467</v>
      </c>
      <c r="E59" s="5" t="s">
        <v>190</v>
      </c>
      <c r="F59" s="5" t="s">
        <v>190</v>
      </c>
      <c r="G59" s="7">
        <v>15054</v>
      </c>
    </row>
    <row r="60" spans="1:7">
      <c r="A60" s="3" t="s">
        <v>47</v>
      </c>
      <c r="B60" s="34">
        <v>35969</v>
      </c>
      <c r="C60" s="34">
        <v>39816</v>
      </c>
      <c r="D60" s="5" t="s">
        <v>468</v>
      </c>
      <c r="E60" s="5" t="s">
        <v>469</v>
      </c>
      <c r="F60" s="5" t="s">
        <v>190</v>
      </c>
      <c r="G60" s="7">
        <v>29779</v>
      </c>
    </row>
    <row r="61" spans="1:7">
      <c r="A61" s="22" t="s">
        <v>48</v>
      </c>
      <c r="B61" s="35">
        <v>41277</v>
      </c>
      <c r="C61" s="35">
        <v>41666</v>
      </c>
      <c r="D61" s="5" t="s">
        <v>190</v>
      </c>
      <c r="E61" s="5" t="s">
        <v>470</v>
      </c>
      <c r="F61" s="5" t="s">
        <v>190</v>
      </c>
      <c r="G61" s="7">
        <v>21320</v>
      </c>
    </row>
    <row r="62" spans="1:7">
      <c r="A62" s="21" t="s">
        <v>614</v>
      </c>
      <c r="B62" s="35">
        <v>30319</v>
      </c>
      <c r="C62" s="35" t="s">
        <v>190</v>
      </c>
      <c r="D62" s="22" t="s">
        <v>190</v>
      </c>
      <c r="E62" t="s">
        <v>677</v>
      </c>
      <c r="F62" s="22" t="s">
        <v>190</v>
      </c>
      <c r="G62">
        <v>15003</v>
      </c>
    </row>
    <row r="63" spans="1:7">
      <c r="A63" s="3" t="s">
        <v>49</v>
      </c>
      <c r="B63" s="35">
        <v>33972</v>
      </c>
      <c r="C63" s="35">
        <v>42007</v>
      </c>
      <c r="D63" s="5" t="s">
        <v>190</v>
      </c>
      <c r="E63" s="5" t="s">
        <v>471</v>
      </c>
      <c r="F63" s="5" t="s">
        <v>190</v>
      </c>
      <c r="G63" s="7">
        <v>29315</v>
      </c>
    </row>
    <row r="64" spans="1:7">
      <c r="A64" s="3" t="s">
        <v>50</v>
      </c>
      <c r="B64" s="34">
        <v>31050</v>
      </c>
      <c r="C64" s="34">
        <v>37461</v>
      </c>
      <c r="D64" s="5" t="s">
        <v>190</v>
      </c>
      <c r="E64" s="5" t="s">
        <v>472</v>
      </c>
      <c r="F64" s="5" t="s">
        <v>473</v>
      </c>
      <c r="G64" s="7">
        <v>15121</v>
      </c>
    </row>
    <row r="65" spans="1:7">
      <c r="A65" s="3" t="s">
        <v>51</v>
      </c>
      <c r="B65" s="35">
        <v>35433</v>
      </c>
      <c r="C65" s="35">
        <v>39082</v>
      </c>
      <c r="D65" s="9" t="s">
        <v>190</v>
      </c>
      <c r="E65" s="6" t="s">
        <v>474</v>
      </c>
      <c r="F65" s="5" t="s">
        <v>190</v>
      </c>
      <c r="G65" s="7">
        <v>29739</v>
      </c>
    </row>
    <row r="66" spans="1:7">
      <c r="A66" s="3" t="s">
        <v>52</v>
      </c>
      <c r="B66" s="34">
        <v>33241</v>
      </c>
      <c r="C66" s="34">
        <v>42007</v>
      </c>
      <c r="D66" s="5" t="s">
        <v>190</v>
      </c>
      <c r="E66" s="5" t="s">
        <v>475</v>
      </c>
      <c r="F66" s="5" t="s">
        <v>190</v>
      </c>
      <c r="G66" s="7">
        <v>29149</v>
      </c>
    </row>
    <row r="67" spans="1:7">
      <c r="A67" s="3" t="s">
        <v>53</v>
      </c>
      <c r="B67" s="34">
        <v>33972</v>
      </c>
      <c r="C67" s="34">
        <v>40602</v>
      </c>
      <c r="D67" s="5" t="s">
        <v>190</v>
      </c>
      <c r="E67" s="5" t="s">
        <v>476</v>
      </c>
      <c r="F67" s="5" t="s">
        <v>190</v>
      </c>
      <c r="G67" s="7">
        <v>29318</v>
      </c>
    </row>
    <row r="68" spans="1:7">
      <c r="A68" s="3" t="s">
        <v>54</v>
      </c>
      <c r="B68" s="35">
        <v>38566</v>
      </c>
      <c r="C68" s="35">
        <v>41277</v>
      </c>
      <c r="D68" s="10" t="s">
        <v>190</v>
      </c>
      <c r="E68" s="6" t="s">
        <v>477</v>
      </c>
      <c r="F68" s="6" t="s">
        <v>190</v>
      </c>
      <c r="G68" s="7">
        <v>20540</v>
      </c>
    </row>
    <row r="69" spans="1:7">
      <c r="A69" s="3" t="s">
        <v>55</v>
      </c>
      <c r="B69" s="35">
        <v>40546</v>
      </c>
      <c r="C69" s="35">
        <v>43468</v>
      </c>
      <c r="D69" s="5" t="s">
        <v>190</v>
      </c>
      <c r="E69" s="6" t="s">
        <v>478</v>
      </c>
      <c r="F69" s="5" t="s">
        <v>190</v>
      </c>
      <c r="G69" s="7">
        <v>21109</v>
      </c>
    </row>
    <row r="70" spans="1:7">
      <c r="A70" s="3" t="s">
        <v>56</v>
      </c>
      <c r="B70" s="34">
        <v>35045</v>
      </c>
      <c r="C70" s="34">
        <v>41234</v>
      </c>
      <c r="D70" s="5" t="s">
        <v>190</v>
      </c>
      <c r="E70" s="5" t="s">
        <v>479</v>
      </c>
      <c r="F70" s="5" t="s">
        <v>190</v>
      </c>
      <c r="G70" s="7">
        <v>29585</v>
      </c>
    </row>
    <row r="71" spans="1:7">
      <c r="A71" s="21" t="s">
        <v>628</v>
      </c>
      <c r="B71" s="35">
        <v>36894</v>
      </c>
      <c r="C71" s="35" t="s">
        <v>190</v>
      </c>
      <c r="D71" s="22" t="s">
        <v>190</v>
      </c>
      <c r="E71" s="22" t="s">
        <v>655</v>
      </c>
      <c r="F71" s="22" t="s">
        <v>190</v>
      </c>
      <c r="G71" s="22">
        <v>20141</v>
      </c>
    </row>
    <row r="72" spans="1:7">
      <c r="A72" s="3" t="s">
        <v>57</v>
      </c>
      <c r="B72" s="35">
        <v>31050</v>
      </c>
      <c r="C72" s="35">
        <v>43468</v>
      </c>
      <c r="D72" s="5" t="s">
        <v>190</v>
      </c>
      <c r="E72" s="5" t="s">
        <v>480</v>
      </c>
      <c r="F72" s="5" t="s">
        <v>190</v>
      </c>
      <c r="G72" s="7">
        <v>15085</v>
      </c>
    </row>
    <row r="73" spans="1:7">
      <c r="A73" s="3" t="s">
        <v>58</v>
      </c>
      <c r="B73" s="35">
        <v>37302</v>
      </c>
      <c r="C73" s="35">
        <v>41277</v>
      </c>
      <c r="D73" s="5" t="s">
        <v>190</v>
      </c>
      <c r="E73" s="5" t="s">
        <v>481</v>
      </c>
      <c r="F73" s="5" t="s">
        <v>190</v>
      </c>
      <c r="G73" s="7">
        <v>20131</v>
      </c>
    </row>
    <row r="74" spans="1:7">
      <c r="A74" s="14" t="s">
        <v>482</v>
      </c>
      <c r="B74" s="35">
        <v>38692</v>
      </c>
      <c r="C74" s="35">
        <v>42007</v>
      </c>
      <c r="D74" s="6" t="s">
        <v>190</v>
      </c>
      <c r="E74" s="6" t="s">
        <v>612</v>
      </c>
      <c r="F74" s="6" t="s">
        <v>190</v>
      </c>
      <c r="G74" s="7">
        <v>20539</v>
      </c>
    </row>
    <row r="75" spans="1:7">
      <c r="A75" s="3" t="s">
        <v>59</v>
      </c>
      <c r="B75" s="34">
        <v>34702</v>
      </c>
      <c r="C75" s="34">
        <v>39085</v>
      </c>
      <c r="D75" s="5" t="s">
        <v>483</v>
      </c>
      <c r="E75" s="5" t="s">
        <v>484</v>
      </c>
      <c r="F75" s="5" t="s">
        <v>190</v>
      </c>
      <c r="G75" s="7">
        <v>29502</v>
      </c>
    </row>
    <row r="76" spans="1:7">
      <c r="A76" s="3" t="s">
        <v>60</v>
      </c>
      <c r="B76" s="34">
        <v>36163</v>
      </c>
      <c r="C76" s="34">
        <v>39085</v>
      </c>
      <c r="D76" s="5" t="s">
        <v>190</v>
      </c>
      <c r="E76" s="5" t="s">
        <v>485</v>
      </c>
      <c r="F76" s="5" t="s">
        <v>190</v>
      </c>
      <c r="G76" s="7">
        <v>29927</v>
      </c>
    </row>
    <row r="77" spans="1:7">
      <c r="A77" s="3" t="s">
        <v>61</v>
      </c>
      <c r="B77" s="35">
        <v>41681</v>
      </c>
      <c r="C77" s="35">
        <v>42007</v>
      </c>
      <c r="D77" s="5" t="s">
        <v>486</v>
      </c>
      <c r="E77" s="5" t="s">
        <v>190</v>
      </c>
      <c r="F77" s="5" t="s">
        <v>190</v>
      </c>
      <c r="G77" s="7">
        <v>41309</v>
      </c>
    </row>
    <row r="78" spans="1:7">
      <c r="A78" s="3" t="s">
        <v>62</v>
      </c>
      <c r="B78" s="34">
        <v>34702</v>
      </c>
      <c r="C78" s="34">
        <v>40666</v>
      </c>
      <c r="D78" s="5" t="s">
        <v>487</v>
      </c>
      <c r="E78" s="5" t="s">
        <v>190</v>
      </c>
      <c r="F78" s="5" t="s">
        <v>190</v>
      </c>
      <c r="G78" s="7">
        <v>29537</v>
      </c>
    </row>
    <row r="79" spans="1:7">
      <c r="A79" s="3" t="s">
        <v>63</v>
      </c>
      <c r="B79" s="35">
        <v>35433</v>
      </c>
      <c r="C79" s="35">
        <v>42007</v>
      </c>
      <c r="D79" s="5" t="s">
        <v>190</v>
      </c>
      <c r="E79" s="6" t="s">
        <v>488</v>
      </c>
      <c r="F79" s="5" t="s">
        <v>190</v>
      </c>
      <c r="G79" s="7">
        <v>29730</v>
      </c>
    </row>
    <row r="80" spans="1:7">
      <c r="A80" s="3" t="s">
        <v>66</v>
      </c>
      <c r="B80" s="34">
        <v>23745</v>
      </c>
      <c r="C80" s="34">
        <v>43074</v>
      </c>
      <c r="D80" s="5" t="s">
        <v>190</v>
      </c>
      <c r="E80" s="5" t="s">
        <v>489</v>
      </c>
      <c r="F80" s="5" t="s">
        <v>190</v>
      </c>
      <c r="G80" s="7">
        <v>10713</v>
      </c>
    </row>
    <row r="81" spans="1:7" ht="16">
      <c r="A81" s="21" t="s">
        <v>616</v>
      </c>
      <c r="B81" s="35">
        <v>26667</v>
      </c>
      <c r="C81" s="35" t="s">
        <v>190</v>
      </c>
      <c r="D81" s="49" t="s">
        <v>190</v>
      </c>
      <c r="E81" s="39" t="s">
        <v>674</v>
      </c>
      <c r="F81" s="49" t="s">
        <v>190</v>
      </c>
      <c r="G81">
        <v>14039</v>
      </c>
    </row>
    <row r="82" spans="1:7" ht="16">
      <c r="A82" s="21" t="s">
        <v>64</v>
      </c>
      <c r="B82" s="35">
        <v>27065</v>
      </c>
      <c r="C82" s="35">
        <v>40217</v>
      </c>
      <c r="D82" s="11" t="s">
        <v>190</v>
      </c>
      <c r="E82" s="11" t="s">
        <v>490</v>
      </c>
      <c r="F82" s="11" t="s">
        <v>190</v>
      </c>
      <c r="G82" s="7">
        <v>14072</v>
      </c>
    </row>
    <row r="83" spans="1:7">
      <c r="A83" s="21" t="s">
        <v>638</v>
      </c>
      <c r="B83" s="35">
        <v>30319</v>
      </c>
      <c r="C83" s="35" t="s">
        <v>190</v>
      </c>
      <c r="D83" s="22" t="s">
        <v>656</v>
      </c>
      <c r="E83" s="22" t="s">
        <v>190</v>
      </c>
      <c r="F83" s="22" t="s">
        <v>657</v>
      </c>
      <c r="G83" s="22">
        <v>15039</v>
      </c>
    </row>
    <row r="84" spans="1:7">
      <c r="A84" s="3" t="s">
        <v>65</v>
      </c>
      <c r="B84" s="34">
        <v>33241</v>
      </c>
      <c r="C84" s="34">
        <v>39816</v>
      </c>
      <c r="D84" s="5" t="s">
        <v>190</v>
      </c>
      <c r="E84" s="5" t="s">
        <v>491</v>
      </c>
      <c r="F84" s="5" t="s">
        <v>190</v>
      </c>
      <c r="G84" s="7">
        <v>29104</v>
      </c>
    </row>
    <row r="85" spans="1:7">
      <c r="A85" s="3" t="s">
        <v>207</v>
      </c>
      <c r="B85" s="35">
        <v>36163</v>
      </c>
      <c r="C85" s="35">
        <v>43468</v>
      </c>
      <c r="D85" s="6" t="s">
        <v>190</v>
      </c>
      <c r="E85" s="6" t="s">
        <v>613</v>
      </c>
      <c r="F85" s="6" t="s">
        <v>190</v>
      </c>
      <c r="G85" s="7">
        <v>29925</v>
      </c>
    </row>
    <row r="86" spans="1:7">
      <c r="A86" s="21" t="s">
        <v>625</v>
      </c>
      <c r="B86" s="35">
        <v>35150</v>
      </c>
      <c r="C86" s="35" t="s">
        <v>190</v>
      </c>
      <c r="D86" s="22" t="s">
        <v>190</v>
      </c>
      <c r="E86" s="22" t="s">
        <v>658</v>
      </c>
      <c r="F86" s="22" t="s">
        <v>190</v>
      </c>
      <c r="G86" s="22">
        <v>29586</v>
      </c>
    </row>
    <row r="87" spans="1:7">
      <c r="A87" s="21" t="s">
        <v>629</v>
      </c>
      <c r="B87" s="35">
        <v>35433</v>
      </c>
      <c r="C87" s="35" t="s">
        <v>190</v>
      </c>
      <c r="D87" s="22" t="s">
        <v>190</v>
      </c>
      <c r="E87" s="22" t="s">
        <v>659</v>
      </c>
      <c r="F87" s="22" t="s">
        <v>190</v>
      </c>
      <c r="G87" s="22">
        <v>29720</v>
      </c>
    </row>
    <row r="88" spans="1:7">
      <c r="A88" s="21" t="s">
        <v>619</v>
      </c>
      <c r="B88" s="35">
        <v>28858</v>
      </c>
      <c r="C88" s="35" t="s">
        <v>190</v>
      </c>
      <c r="D88" s="22" t="s">
        <v>190</v>
      </c>
      <c r="E88" s="22" t="s">
        <v>660</v>
      </c>
      <c r="F88" s="22" t="s">
        <v>190</v>
      </c>
      <c r="G88" s="22">
        <v>14620</v>
      </c>
    </row>
    <row r="89" spans="1:7">
      <c r="A89" s="3" t="s">
        <v>67</v>
      </c>
      <c r="B89" s="34">
        <v>34702</v>
      </c>
      <c r="C89" s="34">
        <v>38355</v>
      </c>
      <c r="D89" s="5" t="s">
        <v>190</v>
      </c>
      <c r="E89" s="5" t="s">
        <v>492</v>
      </c>
      <c r="F89" s="5" t="s">
        <v>190</v>
      </c>
      <c r="G89" s="7">
        <v>29535</v>
      </c>
    </row>
    <row r="90" spans="1:7">
      <c r="A90" s="3" t="s">
        <v>68</v>
      </c>
      <c r="B90" s="35">
        <v>37624</v>
      </c>
      <c r="C90" s="35">
        <v>39085</v>
      </c>
      <c r="D90" s="5" t="s">
        <v>493</v>
      </c>
      <c r="E90" s="5" t="s">
        <v>494</v>
      </c>
      <c r="F90" s="5" t="s">
        <v>190</v>
      </c>
      <c r="G90" s="7">
        <v>20314</v>
      </c>
    </row>
    <row r="91" spans="1:7">
      <c r="A91" s="3" t="s">
        <v>199</v>
      </c>
      <c r="B91" s="35">
        <v>43468</v>
      </c>
      <c r="C91" s="35">
        <v>43772</v>
      </c>
      <c r="D91" s="6" t="s">
        <v>190</v>
      </c>
      <c r="E91" s="6" t="s">
        <v>495</v>
      </c>
      <c r="F91" s="6" t="s">
        <v>190</v>
      </c>
      <c r="G91" s="7" t="s">
        <v>190</v>
      </c>
    </row>
    <row r="92" spans="1:7">
      <c r="A92" s="3" t="s">
        <v>69</v>
      </c>
      <c r="B92" s="35">
        <v>39085</v>
      </c>
      <c r="C92" s="35">
        <v>43468</v>
      </c>
      <c r="D92" s="5" t="s">
        <v>190</v>
      </c>
      <c r="E92" s="5" t="s">
        <v>496</v>
      </c>
      <c r="F92" s="5" t="s">
        <v>190</v>
      </c>
      <c r="G92" s="7">
        <v>20727</v>
      </c>
    </row>
    <row r="93" spans="1:7">
      <c r="A93" s="3" t="s">
        <v>70</v>
      </c>
      <c r="B93" s="35">
        <v>33972</v>
      </c>
      <c r="C93" s="35" t="s">
        <v>190</v>
      </c>
      <c r="D93" s="5" t="s">
        <v>190</v>
      </c>
      <c r="E93" s="6" t="s">
        <v>497</v>
      </c>
      <c r="F93" s="5" t="s">
        <v>190</v>
      </c>
      <c r="G93" s="7">
        <v>29323</v>
      </c>
    </row>
    <row r="94" spans="1:7">
      <c r="A94" s="3" t="s">
        <v>71</v>
      </c>
      <c r="B94" s="35">
        <v>40546</v>
      </c>
      <c r="C94" s="35">
        <v>43468</v>
      </c>
      <c r="D94" s="5" t="s">
        <v>190</v>
      </c>
      <c r="E94" s="5" t="s">
        <v>498</v>
      </c>
      <c r="F94" s="5" t="s">
        <v>190</v>
      </c>
      <c r="G94" s="7">
        <v>21135</v>
      </c>
    </row>
    <row r="95" spans="1:7">
      <c r="A95" s="21" t="s">
        <v>636</v>
      </c>
      <c r="B95" s="35">
        <v>42007</v>
      </c>
      <c r="C95" s="35" t="s">
        <v>190</v>
      </c>
      <c r="D95" s="22" t="s">
        <v>190</v>
      </c>
      <c r="E95" s="22" t="s">
        <v>661</v>
      </c>
      <c r="F95" s="22" t="s">
        <v>190</v>
      </c>
      <c r="G95" s="22">
        <v>21517</v>
      </c>
    </row>
    <row r="96" spans="1:7">
      <c r="A96" s="3" t="s">
        <v>72</v>
      </c>
      <c r="B96" s="34">
        <v>29589</v>
      </c>
      <c r="C96" s="34">
        <v>39816</v>
      </c>
      <c r="D96" s="5" t="s">
        <v>499</v>
      </c>
      <c r="E96" s="5" t="s">
        <v>190</v>
      </c>
      <c r="F96" s="5" t="s">
        <v>190</v>
      </c>
      <c r="G96" s="7">
        <v>14809</v>
      </c>
    </row>
    <row r="97" spans="1:7">
      <c r="A97" s="3" t="s">
        <v>73</v>
      </c>
      <c r="B97" s="34">
        <v>39315</v>
      </c>
      <c r="C97" s="34">
        <v>41277</v>
      </c>
      <c r="D97" s="5" t="s">
        <v>190</v>
      </c>
      <c r="E97" s="5" t="s">
        <v>500</v>
      </c>
      <c r="F97" s="5" t="s">
        <v>190</v>
      </c>
      <c r="G97" s="7">
        <v>20752</v>
      </c>
    </row>
    <row r="98" spans="1:7">
      <c r="A98" s="3" t="s">
        <v>74</v>
      </c>
      <c r="B98" s="35">
        <v>37610</v>
      </c>
      <c r="C98" s="35" t="s">
        <v>190</v>
      </c>
      <c r="D98" s="6" t="s">
        <v>501</v>
      </c>
      <c r="E98" s="5" t="s">
        <v>190</v>
      </c>
      <c r="F98" s="5" t="s">
        <v>190</v>
      </c>
      <c r="G98" s="7">
        <v>40300</v>
      </c>
    </row>
    <row r="99" spans="1:7">
      <c r="A99" s="3" t="s">
        <v>75</v>
      </c>
      <c r="B99" s="34">
        <v>30319</v>
      </c>
      <c r="C99" s="34" t="s">
        <v>190</v>
      </c>
      <c r="D99" s="5" t="s">
        <v>190</v>
      </c>
      <c r="E99" s="5" t="s">
        <v>502</v>
      </c>
      <c r="F99" s="5" t="s">
        <v>190</v>
      </c>
      <c r="G99" s="7">
        <v>15029</v>
      </c>
    </row>
    <row r="100" spans="1:7">
      <c r="A100" s="3" t="s">
        <v>76</v>
      </c>
      <c r="B100" s="35">
        <v>34702</v>
      </c>
      <c r="C100" s="35">
        <v>38989</v>
      </c>
      <c r="D100" s="6" t="s">
        <v>503</v>
      </c>
      <c r="E100" s="6" t="s">
        <v>504</v>
      </c>
      <c r="F100" s="5" t="s">
        <v>190</v>
      </c>
      <c r="G100" s="7">
        <v>29510</v>
      </c>
    </row>
    <row r="101" spans="1:7">
      <c r="A101" s="3" t="s">
        <v>77</v>
      </c>
      <c r="B101" s="34">
        <v>34702</v>
      </c>
      <c r="C101" s="34">
        <v>43606</v>
      </c>
      <c r="D101" s="5" t="s">
        <v>190</v>
      </c>
      <c r="E101" s="5" t="s">
        <v>505</v>
      </c>
      <c r="F101" s="5" t="s">
        <v>190</v>
      </c>
      <c r="G101" s="7">
        <v>29519</v>
      </c>
    </row>
    <row r="102" spans="1:7">
      <c r="A102" s="3" t="s">
        <v>78</v>
      </c>
      <c r="B102" s="35">
        <v>41277</v>
      </c>
      <c r="C102" s="35">
        <v>43920</v>
      </c>
      <c r="D102" s="5" t="s">
        <v>190</v>
      </c>
      <c r="E102" s="5" t="s">
        <v>506</v>
      </c>
      <c r="F102" s="5" t="s">
        <v>190</v>
      </c>
      <c r="G102" s="7">
        <v>21348</v>
      </c>
    </row>
    <row r="103" spans="1:7">
      <c r="A103" s="3" t="s">
        <v>79</v>
      </c>
      <c r="B103" s="35">
        <v>39816</v>
      </c>
      <c r="C103" s="35" t="s">
        <v>190</v>
      </c>
      <c r="D103" s="5" t="s">
        <v>507</v>
      </c>
      <c r="E103" s="5" t="s">
        <v>190</v>
      </c>
      <c r="F103" s="5" t="s">
        <v>508</v>
      </c>
      <c r="G103" s="7">
        <v>40909</v>
      </c>
    </row>
    <row r="104" spans="1:7">
      <c r="A104" s="3" t="s">
        <v>80</v>
      </c>
      <c r="B104" s="35">
        <v>36894</v>
      </c>
      <c r="C104" s="35">
        <v>42738</v>
      </c>
      <c r="D104" s="6" t="s">
        <v>509</v>
      </c>
      <c r="E104" s="6" t="s">
        <v>510</v>
      </c>
      <c r="F104" s="5" t="s">
        <v>190</v>
      </c>
      <c r="G104" s="7">
        <v>20115</v>
      </c>
    </row>
    <row r="105" spans="1:7">
      <c r="A105" s="3" t="s">
        <v>193</v>
      </c>
      <c r="B105" s="35">
        <v>41277</v>
      </c>
      <c r="C105" s="35" t="s">
        <v>190</v>
      </c>
      <c r="D105" s="6" t="s">
        <v>190</v>
      </c>
      <c r="E105" s="6" t="s">
        <v>594</v>
      </c>
      <c r="F105" s="6" t="s">
        <v>190</v>
      </c>
      <c r="G105" s="7">
        <v>21355</v>
      </c>
    </row>
    <row r="106" spans="1:7">
      <c r="A106" s="3" t="s">
        <v>206</v>
      </c>
      <c r="B106" s="35">
        <v>40484</v>
      </c>
      <c r="C106" s="35">
        <v>42738</v>
      </c>
      <c r="D106" s="6" t="s">
        <v>596</v>
      </c>
      <c r="E106" s="6" t="s">
        <v>595</v>
      </c>
      <c r="F106" s="6" t="s">
        <v>190</v>
      </c>
      <c r="G106" s="7">
        <v>21100</v>
      </c>
    </row>
    <row r="107" spans="1:7">
      <c r="A107" s="3" t="s">
        <v>81</v>
      </c>
      <c r="B107" s="35">
        <v>35433</v>
      </c>
      <c r="C107" s="35">
        <v>42007</v>
      </c>
      <c r="D107" s="6" t="s">
        <v>511</v>
      </c>
      <c r="E107" s="6" t="s">
        <v>190</v>
      </c>
      <c r="F107" s="6" t="s">
        <v>512</v>
      </c>
      <c r="G107" s="7">
        <v>49702</v>
      </c>
    </row>
    <row r="108" spans="1:7">
      <c r="A108" s="3" t="s">
        <v>198</v>
      </c>
      <c r="B108" s="35">
        <v>42738</v>
      </c>
      <c r="C108" s="35" t="s">
        <v>190</v>
      </c>
      <c r="D108" s="6" t="s">
        <v>190</v>
      </c>
      <c r="E108" s="6" t="s">
        <v>597</v>
      </c>
      <c r="F108" s="6" t="s">
        <v>190</v>
      </c>
      <c r="G108" s="7">
        <v>21719</v>
      </c>
    </row>
    <row r="109" spans="1:7">
      <c r="A109" s="3" t="s">
        <v>82</v>
      </c>
      <c r="B109" s="35">
        <v>27397</v>
      </c>
      <c r="C109" s="35">
        <v>41676</v>
      </c>
      <c r="D109" s="5" t="s">
        <v>513</v>
      </c>
      <c r="E109" s="5" t="s">
        <v>190</v>
      </c>
      <c r="F109" s="5" t="s">
        <v>190</v>
      </c>
      <c r="G109" s="7">
        <v>14203</v>
      </c>
    </row>
    <row r="110" spans="1:7">
      <c r="A110" s="3" t="s">
        <v>83</v>
      </c>
      <c r="B110" s="34">
        <v>33241</v>
      </c>
      <c r="C110" s="34" t="s">
        <v>190</v>
      </c>
      <c r="D110" s="5" t="s">
        <v>190</v>
      </c>
      <c r="E110" s="5" t="s">
        <v>514</v>
      </c>
      <c r="F110" s="5" t="s">
        <v>190</v>
      </c>
      <c r="G110" s="7">
        <v>29106</v>
      </c>
    </row>
    <row r="111" spans="1:7">
      <c r="A111" s="3" t="s">
        <v>208</v>
      </c>
      <c r="B111" s="35">
        <v>33972</v>
      </c>
      <c r="C111" s="35">
        <v>41645</v>
      </c>
      <c r="D111" s="6" t="s">
        <v>190</v>
      </c>
      <c r="E111" s="6" t="s">
        <v>598</v>
      </c>
      <c r="F111" s="6" t="s">
        <v>190</v>
      </c>
      <c r="G111" s="7">
        <v>29383</v>
      </c>
    </row>
    <row r="112" spans="1:7">
      <c r="A112" s="3" t="s">
        <v>84</v>
      </c>
      <c r="B112" s="35">
        <v>33972</v>
      </c>
      <c r="C112" s="35" t="s">
        <v>190</v>
      </c>
      <c r="D112" s="5" t="s">
        <v>515</v>
      </c>
      <c r="E112" s="5" t="s">
        <v>516</v>
      </c>
      <c r="F112" s="5" t="s">
        <v>190</v>
      </c>
      <c r="G112" s="7">
        <v>29345</v>
      </c>
    </row>
    <row r="113" spans="1:7">
      <c r="A113" s="3" t="s">
        <v>738</v>
      </c>
      <c r="B113" s="35">
        <v>43468</v>
      </c>
      <c r="C113" s="35" t="s">
        <v>190</v>
      </c>
      <c r="D113" s="6" t="s">
        <v>190</v>
      </c>
      <c r="E113" s="6" t="s">
        <v>599</v>
      </c>
      <c r="F113" s="6" t="s">
        <v>190</v>
      </c>
      <c r="G113" s="7" t="s">
        <v>190</v>
      </c>
    </row>
    <row r="114" spans="1:7">
      <c r="A114" s="3" t="s">
        <v>85</v>
      </c>
      <c r="B114" s="34">
        <v>40546</v>
      </c>
      <c r="C114" s="34">
        <v>42007</v>
      </c>
      <c r="D114" s="5" t="s">
        <v>190</v>
      </c>
      <c r="E114" s="5" t="s">
        <v>517</v>
      </c>
      <c r="F114" s="5" t="s">
        <v>190</v>
      </c>
      <c r="G114" s="7">
        <v>21154</v>
      </c>
    </row>
    <row r="115" spans="1:7">
      <c r="A115" s="3" t="s">
        <v>197</v>
      </c>
      <c r="B115" s="35">
        <v>36894</v>
      </c>
      <c r="C115" s="35">
        <v>42738</v>
      </c>
      <c r="D115" s="6" t="s">
        <v>190</v>
      </c>
      <c r="E115" s="6" t="s">
        <v>600</v>
      </c>
      <c r="F115" s="6" t="s">
        <v>190</v>
      </c>
      <c r="G115" s="7">
        <v>20103</v>
      </c>
    </row>
    <row r="116" spans="1:7">
      <c r="A116" s="3" t="s">
        <v>86</v>
      </c>
      <c r="B116" s="34">
        <v>39085</v>
      </c>
      <c r="C116" s="34">
        <v>42007</v>
      </c>
      <c r="D116" s="5" t="s">
        <v>190</v>
      </c>
      <c r="E116" s="5" t="s">
        <v>518</v>
      </c>
      <c r="F116" s="5" t="s">
        <v>519</v>
      </c>
      <c r="G116" s="7">
        <v>20728</v>
      </c>
    </row>
    <row r="117" spans="1:7">
      <c r="A117" s="3" t="s">
        <v>87</v>
      </c>
      <c r="B117" s="35">
        <v>28128</v>
      </c>
      <c r="C117" s="35">
        <v>41277</v>
      </c>
      <c r="D117" s="5" t="s">
        <v>190</v>
      </c>
      <c r="E117" s="5" t="s">
        <v>520</v>
      </c>
      <c r="F117" s="5" t="s">
        <v>190</v>
      </c>
      <c r="G117" s="7">
        <v>14413</v>
      </c>
    </row>
    <row r="118" spans="1:7">
      <c r="A118" s="21" t="s">
        <v>620</v>
      </c>
      <c r="B118" s="35">
        <v>30319</v>
      </c>
      <c r="C118" s="35" t="s">
        <v>190</v>
      </c>
      <c r="D118" s="22" t="s">
        <v>190</v>
      </c>
      <c r="E118" s="22" t="s">
        <v>662</v>
      </c>
      <c r="F118" s="22" t="s">
        <v>190</v>
      </c>
      <c r="G118" s="22">
        <v>15060</v>
      </c>
    </row>
    <row r="119" spans="1:7">
      <c r="A119" s="21" t="s">
        <v>635</v>
      </c>
      <c r="B119" s="35">
        <v>40546</v>
      </c>
      <c r="C119" s="35" t="s">
        <v>190</v>
      </c>
      <c r="D119" s="22" t="s">
        <v>190</v>
      </c>
      <c r="E119" s="22" t="s">
        <v>663</v>
      </c>
      <c r="F119" s="22" t="s">
        <v>190</v>
      </c>
      <c r="G119" s="22">
        <v>21147</v>
      </c>
    </row>
    <row r="120" spans="1:7">
      <c r="A120" s="3" t="s">
        <v>88</v>
      </c>
      <c r="B120" s="34">
        <v>40546</v>
      </c>
      <c r="C120" s="34">
        <v>43217</v>
      </c>
      <c r="D120" s="5" t="s">
        <v>190</v>
      </c>
      <c r="E120" s="5" t="s">
        <v>521</v>
      </c>
      <c r="F120" s="5" t="s">
        <v>190</v>
      </c>
      <c r="G120" s="7">
        <v>21168</v>
      </c>
    </row>
    <row r="121" spans="1:7">
      <c r="A121" s="3" t="s">
        <v>189</v>
      </c>
      <c r="B121" s="34">
        <v>34702</v>
      </c>
      <c r="C121" s="34">
        <v>40546</v>
      </c>
      <c r="D121" s="5" t="s">
        <v>190</v>
      </c>
      <c r="E121" s="5" t="s">
        <v>522</v>
      </c>
      <c r="F121" s="5" t="s">
        <v>190</v>
      </c>
      <c r="G121" s="7">
        <v>29564</v>
      </c>
    </row>
    <row r="122" spans="1:7">
      <c r="A122" s="21" t="s">
        <v>621</v>
      </c>
      <c r="B122" s="35">
        <v>33138</v>
      </c>
      <c r="C122" s="35" t="s">
        <v>190</v>
      </c>
      <c r="D122" s="22" t="s">
        <v>190</v>
      </c>
      <c r="E122" s="22" t="s">
        <v>664</v>
      </c>
      <c r="F122" s="22" t="s">
        <v>190</v>
      </c>
      <c r="G122" s="22">
        <v>10757</v>
      </c>
    </row>
    <row r="123" spans="1:7">
      <c r="A123" s="3" t="s">
        <v>203</v>
      </c>
      <c r="B123" s="35">
        <v>40546</v>
      </c>
      <c r="C123" s="35" t="s">
        <v>190</v>
      </c>
      <c r="D123" s="6" t="s">
        <v>190</v>
      </c>
      <c r="E123" s="6" t="s">
        <v>601</v>
      </c>
      <c r="F123" s="6" t="s">
        <v>190</v>
      </c>
      <c r="G123" s="7">
        <v>21103</v>
      </c>
    </row>
    <row r="124" spans="1:7">
      <c r="A124" s="21" t="s">
        <v>622</v>
      </c>
      <c r="B124" s="35">
        <v>33241</v>
      </c>
      <c r="C124" s="35" t="s">
        <v>190</v>
      </c>
      <c r="D124" s="22" t="s">
        <v>665</v>
      </c>
      <c r="E124" s="22" t="s">
        <v>190</v>
      </c>
      <c r="F124" s="22" t="s">
        <v>190</v>
      </c>
      <c r="G124" s="22">
        <v>49101</v>
      </c>
    </row>
    <row r="125" spans="1:7">
      <c r="A125" s="21" t="s">
        <v>618</v>
      </c>
      <c r="B125" s="35">
        <v>33972</v>
      </c>
      <c r="C125" s="35" t="s">
        <v>190</v>
      </c>
      <c r="D125" s="22" t="s">
        <v>666</v>
      </c>
      <c r="E125" s="22" t="s">
        <v>190</v>
      </c>
      <c r="F125" s="22" t="s">
        <v>190</v>
      </c>
      <c r="G125" s="22">
        <v>49301</v>
      </c>
    </row>
    <row r="126" spans="1:7">
      <c r="A126" s="3" t="s">
        <v>89</v>
      </c>
      <c r="B126" s="34">
        <v>31050</v>
      </c>
      <c r="C126" s="34">
        <v>40546</v>
      </c>
      <c r="D126" s="5" t="s">
        <v>190</v>
      </c>
      <c r="E126" s="5" t="s">
        <v>523</v>
      </c>
      <c r="F126" s="5" t="s">
        <v>190</v>
      </c>
      <c r="G126" s="7">
        <v>15104</v>
      </c>
    </row>
    <row r="127" spans="1:7">
      <c r="A127" s="21" t="s">
        <v>627</v>
      </c>
      <c r="B127" s="35">
        <v>32511</v>
      </c>
      <c r="C127" s="35" t="s">
        <v>190</v>
      </c>
      <c r="D127" s="22" t="s">
        <v>190</v>
      </c>
      <c r="E127" s="22" t="s">
        <v>667</v>
      </c>
      <c r="F127" s="22" t="s">
        <v>190</v>
      </c>
      <c r="G127" s="22">
        <v>15604</v>
      </c>
    </row>
    <row r="128" spans="1:7">
      <c r="A128" s="3" t="s">
        <v>90</v>
      </c>
      <c r="B128" s="34">
        <v>35433</v>
      </c>
      <c r="C128" s="51">
        <v>43468</v>
      </c>
      <c r="D128" s="5" t="s">
        <v>190</v>
      </c>
      <c r="E128" s="5" t="s">
        <v>524</v>
      </c>
      <c r="F128" s="5" t="s">
        <v>190</v>
      </c>
      <c r="G128" s="7">
        <v>29759</v>
      </c>
    </row>
    <row r="129" spans="1:7">
      <c r="A129" s="3" t="s">
        <v>91</v>
      </c>
      <c r="B129" s="34">
        <v>39085</v>
      </c>
      <c r="C129" s="34">
        <v>43468</v>
      </c>
      <c r="D129" s="5" t="s">
        <v>190</v>
      </c>
      <c r="E129" s="5" t="s">
        <v>525</v>
      </c>
      <c r="F129" s="5" t="s">
        <v>190</v>
      </c>
      <c r="G129" s="7">
        <v>20715</v>
      </c>
    </row>
    <row r="130" spans="1:7">
      <c r="A130" s="3" t="s">
        <v>92</v>
      </c>
      <c r="B130" s="34">
        <v>26667</v>
      </c>
      <c r="C130" s="34">
        <v>39816</v>
      </c>
      <c r="D130" s="5" t="s">
        <v>526</v>
      </c>
      <c r="E130" s="5" t="s">
        <v>190</v>
      </c>
      <c r="F130" s="5" t="s">
        <v>190</v>
      </c>
      <c r="G130" s="7">
        <v>14103</v>
      </c>
    </row>
    <row r="131" spans="1:7">
      <c r="A131" s="3" t="s">
        <v>93</v>
      </c>
      <c r="B131" s="34">
        <v>33241</v>
      </c>
      <c r="C131" s="34">
        <v>38687</v>
      </c>
      <c r="D131" s="5" t="s">
        <v>190</v>
      </c>
      <c r="E131" s="5" t="s">
        <v>527</v>
      </c>
      <c r="F131" s="5" t="s">
        <v>190</v>
      </c>
      <c r="G131" s="7">
        <v>29107</v>
      </c>
    </row>
    <row r="132" spans="1:7">
      <c r="A132" s="3" t="s">
        <v>94</v>
      </c>
      <c r="B132" s="34">
        <v>40546</v>
      </c>
      <c r="C132" s="34">
        <v>43196</v>
      </c>
      <c r="D132" s="5" t="s">
        <v>190</v>
      </c>
      <c r="E132" s="5" t="s">
        <v>528</v>
      </c>
      <c r="F132" s="5" t="s">
        <v>190</v>
      </c>
      <c r="G132" s="7">
        <v>21184</v>
      </c>
    </row>
    <row r="133" spans="1:7">
      <c r="A133" s="3" t="s">
        <v>200</v>
      </c>
      <c r="B133" s="35">
        <v>43468</v>
      </c>
      <c r="C133" s="35" t="s">
        <v>190</v>
      </c>
      <c r="D133" s="6" t="s">
        <v>190</v>
      </c>
      <c r="E133" s="6" t="s">
        <v>602</v>
      </c>
      <c r="F133" s="6" t="s">
        <v>190</v>
      </c>
      <c r="G133" s="7" t="s">
        <v>190</v>
      </c>
    </row>
    <row r="134" spans="1:7">
      <c r="A134" s="3" t="s">
        <v>204</v>
      </c>
      <c r="B134" s="35">
        <v>37624</v>
      </c>
      <c r="C134" s="35" t="s">
        <v>190</v>
      </c>
      <c r="D134" s="6" t="s">
        <v>190</v>
      </c>
      <c r="E134" s="6" t="s">
        <v>603</v>
      </c>
      <c r="F134" s="6" t="s">
        <v>190</v>
      </c>
      <c r="G134" s="7">
        <v>20305</v>
      </c>
    </row>
    <row r="135" spans="1:7">
      <c r="A135" s="3" t="s">
        <v>95</v>
      </c>
      <c r="B135" s="35">
        <v>37624</v>
      </c>
      <c r="C135" s="35">
        <v>39816</v>
      </c>
      <c r="D135" s="5" t="s">
        <v>190</v>
      </c>
      <c r="E135" s="6" t="s">
        <v>529</v>
      </c>
      <c r="F135" s="5" t="s">
        <v>190</v>
      </c>
      <c r="G135" s="7">
        <v>20303</v>
      </c>
    </row>
    <row r="136" spans="1:7">
      <c r="A136" s="3" t="s">
        <v>96</v>
      </c>
      <c r="B136" s="35">
        <v>33241</v>
      </c>
      <c r="C136" s="35">
        <v>39085</v>
      </c>
      <c r="D136" s="6" t="s">
        <v>530</v>
      </c>
      <c r="E136" s="6" t="s">
        <v>190</v>
      </c>
      <c r="F136" s="6" t="s">
        <v>531</v>
      </c>
      <c r="G136" s="7">
        <v>29141</v>
      </c>
    </row>
    <row r="137" spans="1:7">
      <c r="A137" s="3" t="s">
        <v>97</v>
      </c>
      <c r="B137" s="35">
        <v>34702</v>
      </c>
      <c r="C137" s="35">
        <v>42007</v>
      </c>
      <c r="D137" s="5" t="s">
        <v>190</v>
      </c>
      <c r="E137" s="5" t="s">
        <v>532</v>
      </c>
      <c r="F137" s="5" t="s">
        <v>190</v>
      </c>
      <c r="G137" s="7">
        <v>29580</v>
      </c>
    </row>
    <row r="138" spans="1:7">
      <c r="A138" s="3" t="s">
        <v>98</v>
      </c>
      <c r="B138" s="34">
        <v>33972</v>
      </c>
      <c r="C138" s="34">
        <v>39085</v>
      </c>
      <c r="D138" s="5" t="s">
        <v>190</v>
      </c>
      <c r="E138" s="5" t="s">
        <v>533</v>
      </c>
      <c r="F138" s="5" t="s">
        <v>190</v>
      </c>
      <c r="G138" s="7">
        <v>29311</v>
      </c>
    </row>
    <row r="139" spans="1:7">
      <c r="A139" s="3" t="s">
        <v>205</v>
      </c>
      <c r="B139" s="35">
        <v>35934</v>
      </c>
      <c r="C139" s="35">
        <v>43468</v>
      </c>
      <c r="D139" s="6" t="s">
        <v>190</v>
      </c>
      <c r="E139" s="6" t="s">
        <v>604</v>
      </c>
      <c r="F139" s="6" t="s">
        <v>190</v>
      </c>
      <c r="G139" s="7">
        <v>29777</v>
      </c>
    </row>
    <row r="140" spans="1:7">
      <c r="A140" s="21" t="s">
        <v>633</v>
      </c>
      <c r="B140" s="35">
        <v>19362</v>
      </c>
      <c r="C140" s="35" t="s">
        <v>190</v>
      </c>
      <c r="D140" s="22" t="s">
        <v>668</v>
      </c>
      <c r="E140" s="22" t="s">
        <v>190</v>
      </c>
      <c r="F140" s="22" t="s">
        <v>190</v>
      </c>
      <c r="G140" s="22">
        <v>1366</v>
      </c>
    </row>
    <row r="141" spans="1:7">
      <c r="A141" s="3" t="s">
        <v>99</v>
      </c>
      <c r="B141" s="35">
        <v>33972</v>
      </c>
      <c r="C141" s="35">
        <v>41246</v>
      </c>
      <c r="D141" s="5" t="s">
        <v>190</v>
      </c>
      <c r="E141" s="5" t="s">
        <v>534</v>
      </c>
      <c r="F141" s="5" t="s">
        <v>190</v>
      </c>
      <c r="G141" s="7">
        <v>29325</v>
      </c>
    </row>
    <row r="142" spans="1:7">
      <c r="A142" s="3" t="s">
        <v>100</v>
      </c>
      <c r="B142" s="34">
        <v>33183</v>
      </c>
      <c r="C142" s="34">
        <v>41688</v>
      </c>
      <c r="D142" s="5" t="s">
        <v>535</v>
      </c>
      <c r="E142" s="5" t="s">
        <v>536</v>
      </c>
      <c r="F142" s="5" t="s">
        <v>190</v>
      </c>
      <c r="G142" s="7">
        <v>29132</v>
      </c>
    </row>
    <row r="143" spans="1:7">
      <c r="A143" s="3" t="s">
        <v>101</v>
      </c>
      <c r="B143" s="34">
        <v>41277</v>
      </c>
      <c r="C143" s="34">
        <v>43468</v>
      </c>
      <c r="D143" s="5" t="s">
        <v>537</v>
      </c>
      <c r="E143" s="5" t="s">
        <v>538</v>
      </c>
      <c r="F143" s="5" t="s">
        <v>190</v>
      </c>
      <c r="G143" s="7">
        <v>21361</v>
      </c>
    </row>
    <row r="144" spans="1:7">
      <c r="A144" s="3" t="s">
        <v>102</v>
      </c>
      <c r="B144" s="34">
        <v>33972</v>
      </c>
      <c r="C144" s="34" t="s">
        <v>190</v>
      </c>
      <c r="D144" s="5" t="s">
        <v>539</v>
      </c>
      <c r="E144" s="5" t="s">
        <v>540</v>
      </c>
      <c r="F144" s="5" t="s">
        <v>190</v>
      </c>
      <c r="G144" s="7">
        <v>29373</v>
      </c>
    </row>
    <row r="145" spans="1:7">
      <c r="A145" s="21" t="s">
        <v>623</v>
      </c>
      <c r="B145" s="35">
        <v>28858</v>
      </c>
      <c r="C145" s="35" t="s">
        <v>190</v>
      </c>
      <c r="D145" s="22" t="s">
        <v>669</v>
      </c>
      <c r="E145" s="22" t="s">
        <v>670</v>
      </c>
      <c r="F145" s="22" t="s">
        <v>190</v>
      </c>
      <c r="G145" s="22">
        <v>14649</v>
      </c>
    </row>
    <row r="146" spans="1:7">
      <c r="A146" s="3" t="s">
        <v>103</v>
      </c>
      <c r="B146" s="34">
        <v>34702</v>
      </c>
      <c r="C146" s="34">
        <v>39024</v>
      </c>
      <c r="D146" s="5" t="s">
        <v>190</v>
      </c>
      <c r="E146" s="5" t="s">
        <v>541</v>
      </c>
      <c r="F146" s="5" t="s">
        <v>190</v>
      </c>
      <c r="G146" s="7">
        <v>29552</v>
      </c>
    </row>
    <row r="147" spans="1:7">
      <c r="A147" s="3" t="s">
        <v>104</v>
      </c>
      <c r="B147" s="34">
        <v>36163</v>
      </c>
      <c r="C147" s="34">
        <v>41277</v>
      </c>
      <c r="D147" s="5" t="s">
        <v>542</v>
      </c>
      <c r="E147" s="5" t="s">
        <v>543</v>
      </c>
      <c r="F147" s="5" t="s">
        <v>190</v>
      </c>
      <c r="G147" s="7">
        <v>29922</v>
      </c>
    </row>
    <row r="148" spans="1:7">
      <c r="A148" s="3" t="s">
        <v>105</v>
      </c>
      <c r="B148" s="35">
        <v>27853</v>
      </c>
      <c r="C148" s="35">
        <v>41277</v>
      </c>
      <c r="D148" s="5" t="s">
        <v>190</v>
      </c>
      <c r="E148" s="5" t="s">
        <v>544</v>
      </c>
      <c r="F148" s="5" t="s">
        <v>545</v>
      </c>
      <c r="G148" s="8">
        <v>14290</v>
      </c>
    </row>
    <row r="149" spans="1:7">
      <c r="A149" s="3" t="s">
        <v>106</v>
      </c>
      <c r="B149" s="34">
        <v>35433</v>
      </c>
      <c r="C149" s="34" t="s">
        <v>190</v>
      </c>
      <c r="D149" s="5" t="s">
        <v>546</v>
      </c>
      <c r="E149" s="5" t="s">
        <v>547</v>
      </c>
      <c r="F149" s="5" t="s">
        <v>190</v>
      </c>
      <c r="G149" s="7">
        <v>29735</v>
      </c>
    </row>
    <row r="150" spans="1:7">
      <c r="A150" s="3" t="s">
        <v>107</v>
      </c>
      <c r="B150" s="34">
        <v>42738</v>
      </c>
      <c r="C150" s="34">
        <v>43468</v>
      </c>
      <c r="D150" s="5" t="s">
        <v>190</v>
      </c>
      <c r="E150" s="5" t="s">
        <v>548</v>
      </c>
      <c r="F150" s="5" t="s">
        <v>190</v>
      </c>
      <c r="G150" s="19">
        <v>21729</v>
      </c>
    </row>
    <row r="151" spans="1:7">
      <c r="A151" s="3" t="s">
        <v>108</v>
      </c>
      <c r="B151" s="34">
        <v>36894</v>
      </c>
      <c r="C151" s="34" t="s">
        <v>190</v>
      </c>
      <c r="D151" s="5" t="s">
        <v>190</v>
      </c>
      <c r="E151" s="5" t="s">
        <v>549</v>
      </c>
      <c r="F151" s="5" t="s">
        <v>190</v>
      </c>
      <c r="G151" s="7">
        <v>20124</v>
      </c>
    </row>
    <row r="152" spans="1:7">
      <c r="A152" s="3" t="s">
        <v>109</v>
      </c>
      <c r="B152" s="35">
        <v>33972</v>
      </c>
      <c r="C152" s="35" t="s">
        <v>190</v>
      </c>
      <c r="D152" s="5" t="s">
        <v>190</v>
      </c>
      <c r="E152" s="6" t="s">
        <v>550</v>
      </c>
      <c r="F152" s="5" t="s">
        <v>190</v>
      </c>
      <c r="G152" s="7">
        <v>29339</v>
      </c>
    </row>
    <row r="153" spans="1:7" ht="16">
      <c r="A153" s="3" t="s">
        <v>110</v>
      </c>
      <c r="B153" s="35">
        <v>40546</v>
      </c>
      <c r="C153" s="50" t="s">
        <v>190</v>
      </c>
      <c r="D153" s="5" t="s">
        <v>190</v>
      </c>
      <c r="E153" s="5" t="s">
        <v>551</v>
      </c>
      <c r="F153" s="5" t="s">
        <v>190</v>
      </c>
      <c r="G153" s="7">
        <v>21179</v>
      </c>
    </row>
    <row r="154" spans="1:7">
      <c r="A154" s="3" t="s">
        <v>111</v>
      </c>
      <c r="B154" s="35">
        <v>34702</v>
      </c>
      <c r="C154" s="35" t="s">
        <v>190</v>
      </c>
      <c r="D154" s="5" t="s">
        <v>190</v>
      </c>
      <c r="E154" s="5" t="s">
        <v>552</v>
      </c>
      <c r="F154" s="5" t="s">
        <v>190</v>
      </c>
      <c r="G154" s="7">
        <v>29573</v>
      </c>
    </row>
    <row r="155" spans="1:7">
      <c r="A155" s="3" t="s">
        <v>209</v>
      </c>
      <c r="B155" s="35">
        <v>35433</v>
      </c>
      <c r="C155" s="35">
        <v>41277</v>
      </c>
      <c r="D155" s="6" t="s">
        <v>190</v>
      </c>
      <c r="E155" s="6" t="s">
        <v>605</v>
      </c>
      <c r="F155" s="6" t="s">
        <v>190</v>
      </c>
      <c r="G155" s="7">
        <v>29764</v>
      </c>
    </row>
    <row r="156" spans="1:7">
      <c r="A156" s="3" t="s">
        <v>112</v>
      </c>
      <c r="B156" s="35">
        <v>33972</v>
      </c>
      <c r="C156" s="35">
        <v>42007</v>
      </c>
      <c r="D156" s="5" t="s">
        <v>190</v>
      </c>
      <c r="E156" s="5" t="s">
        <v>553</v>
      </c>
      <c r="F156" s="5" t="s">
        <v>190</v>
      </c>
      <c r="G156" s="7">
        <v>29301</v>
      </c>
    </row>
    <row r="157" spans="1:7">
      <c r="A157" s="21" t="s">
        <v>631</v>
      </c>
      <c r="B157" s="35">
        <v>36163</v>
      </c>
      <c r="C157" s="35" t="s">
        <v>190</v>
      </c>
      <c r="D157" s="22" t="s">
        <v>190</v>
      </c>
      <c r="E157" s="22" t="s">
        <v>671</v>
      </c>
      <c r="F157" s="22" t="s">
        <v>190</v>
      </c>
      <c r="G157" s="22">
        <v>29930</v>
      </c>
    </row>
    <row r="158" spans="1:7">
      <c r="A158" s="3" t="s">
        <v>113</v>
      </c>
      <c r="B158" s="35">
        <v>33972</v>
      </c>
      <c r="C158" s="35">
        <v>40546</v>
      </c>
      <c r="D158" s="5" t="s">
        <v>190</v>
      </c>
      <c r="E158" s="6" t="s">
        <v>554</v>
      </c>
      <c r="F158" s="5" t="s">
        <v>190</v>
      </c>
      <c r="G158" s="7">
        <v>29350</v>
      </c>
    </row>
    <row r="159" spans="1:7">
      <c r="A159" s="3" t="s">
        <v>114</v>
      </c>
      <c r="B159" s="35">
        <v>37624</v>
      </c>
      <c r="C159" s="35" t="s">
        <v>190</v>
      </c>
      <c r="D159" s="5" t="s">
        <v>190</v>
      </c>
      <c r="E159" s="5" t="s">
        <v>555</v>
      </c>
      <c r="F159" s="5" t="s">
        <v>190</v>
      </c>
      <c r="G159" s="7">
        <v>20325</v>
      </c>
    </row>
    <row r="160" spans="1:7">
      <c r="A160" s="3" t="s">
        <v>115</v>
      </c>
      <c r="B160" s="34">
        <v>34702</v>
      </c>
      <c r="C160" s="34">
        <v>41277</v>
      </c>
      <c r="D160" s="13" t="s">
        <v>190</v>
      </c>
      <c r="E160" s="13" t="s">
        <v>556</v>
      </c>
      <c r="F160" s="13" t="s">
        <v>190</v>
      </c>
      <c r="G160" s="20">
        <v>29553</v>
      </c>
    </row>
    <row r="161" spans="1:7">
      <c r="A161" s="3" t="s">
        <v>116</v>
      </c>
      <c r="B161" s="35">
        <v>37624</v>
      </c>
      <c r="C161" s="35">
        <v>41096</v>
      </c>
      <c r="D161" s="13" t="s">
        <v>190</v>
      </c>
      <c r="E161" s="13" t="s">
        <v>557</v>
      </c>
      <c r="F161" s="13" t="s">
        <v>558</v>
      </c>
      <c r="G161" s="52">
        <v>20332</v>
      </c>
    </row>
    <row r="162" spans="1:7">
      <c r="A162" s="3" t="s">
        <v>117</v>
      </c>
      <c r="B162" s="35">
        <v>25196</v>
      </c>
      <c r="C162" s="35">
        <v>39816</v>
      </c>
      <c r="D162" s="14" t="s">
        <v>559</v>
      </c>
      <c r="E162" s="13" t="s">
        <v>190</v>
      </c>
      <c r="F162" s="13" t="s">
        <v>190</v>
      </c>
      <c r="G162" s="20">
        <v>12109</v>
      </c>
    </row>
    <row r="163" spans="1:7">
      <c r="A163" s="3" t="s">
        <v>211</v>
      </c>
      <c r="B163" s="35">
        <v>34702</v>
      </c>
      <c r="C163" s="35">
        <v>42007</v>
      </c>
      <c r="D163" s="14" t="s">
        <v>606</v>
      </c>
      <c r="E163" s="14" t="s">
        <v>607</v>
      </c>
      <c r="F163" s="14" t="s">
        <v>190</v>
      </c>
      <c r="G163" s="20">
        <v>29555</v>
      </c>
    </row>
    <row r="164" spans="1:7">
      <c r="A164" s="3" t="s">
        <v>118</v>
      </c>
      <c r="B164" s="35">
        <v>37624</v>
      </c>
      <c r="C164" s="35">
        <v>39816</v>
      </c>
      <c r="D164" s="13" t="s">
        <v>190</v>
      </c>
      <c r="E164" s="14" t="s">
        <v>560</v>
      </c>
      <c r="F164" s="13" t="s">
        <v>190</v>
      </c>
      <c r="G164" s="20">
        <v>20315</v>
      </c>
    </row>
    <row r="165" spans="1:7">
      <c r="A165" s="3" t="s">
        <v>119</v>
      </c>
      <c r="B165" s="34">
        <v>31050</v>
      </c>
      <c r="C165" s="34">
        <v>38877</v>
      </c>
      <c r="D165" s="13" t="s">
        <v>190</v>
      </c>
      <c r="E165" s="13" t="s">
        <v>561</v>
      </c>
      <c r="F165" s="13" t="s">
        <v>190</v>
      </c>
      <c r="G165" s="20">
        <v>15094</v>
      </c>
    </row>
    <row r="166" spans="1:7">
      <c r="A166" s="3" t="s">
        <v>120</v>
      </c>
      <c r="B166" s="35">
        <v>38355</v>
      </c>
      <c r="C166" s="35">
        <v>42776</v>
      </c>
      <c r="D166" s="14" t="s">
        <v>190</v>
      </c>
      <c r="E166" s="14" t="s">
        <v>562</v>
      </c>
      <c r="F166" s="14" t="s">
        <v>190</v>
      </c>
      <c r="G166" s="20">
        <v>20505</v>
      </c>
    </row>
    <row r="167" spans="1:7">
      <c r="A167" s="3" t="s">
        <v>196</v>
      </c>
      <c r="B167" s="35">
        <v>28948</v>
      </c>
      <c r="C167" s="35">
        <v>42007</v>
      </c>
      <c r="D167" s="14" t="s">
        <v>190</v>
      </c>
      <c r="E167" s="14" t="s">
        <v>608</v>
      </c>
      <c r="F167" s="14" t="s">
        <v>190</v>
      </c>
      <c r="G167" s="20">
        <v>14675</v>
      </c>
    </row>
    <row r="168" spans="1:7">
      <c r="A168" s="3" t="s">
        <v>216</v>
      </c>
      <c r="B168" s="35">
        <v>37624</v>
      </c>
      <c r="C168" s="35">
        <v>43468</v>
      </c>
      <c r="D168" s="14" t="s">
        <v>190</v>
      </c>
      <c r="E168" s="14" t="s">
        <v>609</v>
      </c>
      <c r="F168" s="14" t="s">
        <v>190</v>
      </c>
      <c r="G168" s="20">
        <v>20352</v>
      </c>
    </row>
    <row r="169" spans="1:7">
      <c r="A169" s="21" t="s">
        <v>630</v>
      </c>
      <c r="B169" s="35">
        <v>29589</v>
      </c>
      <c r="C169" s="35" t="s">
        <v>190</v>
      </c>
      <c r="D169" s="3" t="s">
        <v>190</v>
      </c>
      <c r="E169" s="3" t="s">
        <v>672</v>
      </c>
      <c r="F169" s="3" t="s">
        <v>190</v>
      </c>
      <c r="G169" s="3">
        <v>14837</v>
      </c>
    </row>
    <row r="170" spans="1:7">
      <c r="A170" s="3" t="s">
        <v>121</v>
      </c>
      <c r="B170" s="35">
        <v>30319</v>
      </c>
      <c r="C170" s="35" t="s">
        <v>190</v>
      </c>
      <c r="D170" s="13" t="s">
        <v>563</v>
      </c>
      <c r="E170" s="13" t="s">
        <v>564</v>
      </c>
      <c r="F170" s="13" t="s">
        <v>190</v>
      </c>
      <c r="G170" s="20">
        <v>15015</v>
      </c>
    </row>
    <row r="171" spans="1:7">
      <c r="A171" s="3" t="s">
        <v>122</v>
      </c>
      <c r="B171" s="35">
        <v>40484</v>
      </c>
      <c r="C171" s="35" t="s">
        <v>190</v>
      </c>
      <c r="D171" s="13" t="s">
        <v>190</v>
      </c>
      <c r="E171" s="13" t="s">
        <v>565</v>
      </c>
      <c r="F171" s="13" t="s">
        <v>190</v>
      </c>
      <c r="G171" s="20">
        <v>21101</v>
      </c>
    </row>
    <row r="172" spans="1:7">
      <c r="A172" s="3" t="s">
        <v>123</v>
      </c>
      <c r="B172" s="34">
        <v>39085</v>
      </c>
      <c r="C172" s="34">
        <v>39816</v>
      </c>
      <c r="D172" s="13" t="s">
        <v>190</v>
      </c>
      <c r="E172" s="13" t="s">
        <v>566</v>
      </c>
      <c r="F172" s="13" t="s">
        <v>190</v>
      </c>
      <c r="G172" s="20">
        <v>20710</v>
      </c>
    </row>
    <row r="173" spans="1:7">
      <c r="A173" s="3" t="s">
        <v>124</v>
      </c>
      <c r="B173" s="35">
        <v>37624</v>
      </c>
      <c r="C173" s="35">
        <v>43029</v>
      </c>
      <c r="D173" s="13" t="s">
        <v>190</v>
      </c>
      <c r="E173" s="13" t="s">
        <v>567</v>
      </c>
      <c r="F173" s="13" t="s">
        <v>190</v>
      </c>
      <c r="G173" s="20">
        <v>20346</v>
      </c>
    </row>
    <row r="174" spans="1:7">
      <c r="A174" s="3" t="s">
        <v>125</v>
      </c>
      <c r="B174" s="34">
        <v>37624</v>
      </c>
      <c r="C174" s="34">
        <v>42007</v>
      </c>
      <c r="D174" s="13" t="s">
        <v>190</v>
      </c>
      <c r="E174" s="13" t="s">
        <v>568</v>
      </c>
      <c r="F174" s="13" t="s">
        <v>190</v>
      </c>
      <c r="G174" s="20">
        <v>20338</v>
      </c>
    </row>
    <row r="175" spans="1:7">
      <c r="A175" s="3" t="s">
        <v>126</v>
      </c>
      <c r="B175" s="35">
        <v>37624</v>
      </c>
      <c r="C175" s="35" t="s">
        <v>190</v>
      </c>
      <c r="D175" s="13" t="s">
        <v>190</v>
      </c>
      <c r="E175" s="13" t="s">
        <v>569</v>
      </c>
      <c r="F175" s="13" t="s">
        <v>190</v>
      </c>
      <c r="G175" s="20">
        <v>20343</v>
      </c>
    </row>
    <row r="176" spans="1:7">
      <c r="A176" s="3" t="s">
        <v>127</v>
      </c>
      <c r="B176" s="35">
        <v>37624</v>
      </c>
      <c r="C176" s="35">
        <v>43077</v>
      </c>
      <c r="D176" s="13" t="s">
        <v>190</v>
      </c>
      <c r="E176" s="13" t="s">
        <v>570</v>
      </c>
      <c r="F176" s="13" t="s">
        <v>190</v>
      </c>
      <c r="G176" s="20">
        <v>20304</v>
      </c>
    </row>
    <row r="177" spans="1:7">
      <c r="A177" s="3" t="s">
        <v>128</v>
      </c>
      <c r="B177" s="35">
        <v>41594</v>
      </c>
      <c r="C177" s="35">
        <v>42007</v>
      </c>
      <c r="D177" s="13" t="s">
        <v>190</v>
      </c>
      <c r="E177" s="13" t="s">
        <v>571</v>
      </c>
      <c r="F177" s="13" t="s">
        <v>190</v>
      </c>
      <c r="G177" s="52">
        <v>21374</v>
      </c>
    </row>
    <row r="178" spans="1:7">
      <c r="A178" s="3" t="s">
        <v>129</v>
      </c>
      <c r="B178" s="34">
        <v>39085</v>
      </c>
      <c r="C178" s="34" t="s">
        <v>190</v>
      </c>
      <c r="D178" s="13" t="s">
        <v>190</v>
      </c>
      <c r="E178" s="13" t="s">
        <v>572</v>
      </c>
      <c r="F178" s="13" t="s">
        <v>190</v>
      </c>
      <c r="G178" s="20">
        <v>20709</v>
      </c>
    </row>
    <row r="179" spans="1:7">
      <c r="A179" s="3" t="s">
        <v>130</v>
      </c>
      <c r="B179" s="34">
        <v>35433</v>
      </c>
      <c r="C179" s="34">
        <v>39816</v>
      </c>
      <c r="D179" s="13" t="s">
        <v>190</v>
      </c>
      <c r="E179" s="13" t="s">
        <v>573</v>
      </c>
      <c r="F179" s="13" t="s">
        <v>574</v>
      </c>
      <c r="G179" s="20">
        <v>29767</v>
      </c>
    </row>
    <row r="180" spans="1:7">
      <c r="A180" s="3" t="s">
        <v>131</v>
      </c>
      <c r="B180" s="34">
        <v>35738</v>
      </c>
      <c r="C180" s="34">
        <v>39816</v>
      </c>
      <c r="D180" s="13" t="s">
        <v>190</v>
      </c>
      <c r="E180" s="13" t="s">
        <v>575</v>
      </c>
      <c r="F180" s="13" t="s">
        <v>190</v>
      </c>
      <c r="G180" s="20">
        <v>29773</v>
      </c>
    </row>
    <row r="181" spans="1:7">
      <c r="A181" s="21" t="s">
        <v>639</v>
      </c>
      <c r="B181" s="35">
        <v>34702</v>
      </c>
      <c r="C181" s="35" t="s">
        <v>190</v>
      </c>
      <c r="D181" s="3" t="s">
        <v>190</v>
      </c>
      <c r="E181" s="3" t="s">
        <v>673</v>
      </c>
      <c r="F181" s="3" t="s">
        <v>190</v>
      </c>
      <c r="G181" s="3">
        <v>29546</v>
      </c>
    </row>
    <row r="182" spans="1:7">
      <c r="A182" s="3" t="s">
        <v>132</v>
      </c>
      <c r="B182" s="35">
        <v>31780</v>
      </c>
      <c r="C182" s="35">
        <v>39085</v>
      </c>
      <c r="D182" s="13" t="s">
        <v>190</v>
      </c>
      <c r="E182" s="13" t="s">
        <v>576</v>
      </c>
      <c r="F182" s="13" t="s">
        <v>190</v>
      </c>
      <c r="G182" s="20">
        <v>15447</v>
      </c>
    </row>
    <row r="183" spans="1:7">
      <c r="A183" s="3" t="s">
        <v>133</v>
      </c>
      <c r="B183" s="35">
        <v>34702</v>
      </c>
      <c r="C183" s="35">
        <v>39085</v>
      </c>
      <c r="D183" s="13" t="s">
        <v>190</v>
      </c>
      <c r="E183" s="13" t="s">
        <v>577</v>
      </c>
      <c r="F183" s="13" t="s">
        <v>190</v>
      </c>
      <c r="G183" s="20">
        <v>49502</v>
      </c>
    </row>
    <row r="184" spans="1:7">
      <c r="A184" s="3" t="s">
        <v>134</v>
      </c>
      <c r="B184" s="35">
        <v>33241</v>
      </c>
      <c r="C184" s="35">
        <v>39816</v>
      </c>
      <c r="D184" s="13" t="s">
        <v>190</v>
      </c>
      <c r="E184" s="14" t="s">
        <v>578</v>
      </c>
      <c r="F184" s="13" t="s">
        <v>190</v>
      </c>
      <c r="G184" s="20">
        <v>29120</v>
      </c>
    </row>
    <row r="185" spans="1:7">
      <c r="A185" s="3" t="s">
        <v>135</v>
      </c>
      <c r="B185" s="34">
        <v>37624</v>
      </c>
      <c r="C185" s="34">
        <v>38066</v>
      </c>
      <c r="D185" s="13" t="s">
        <v>190</v>
      </c>
      <c r="E185" s="13" t="s">
        <v>579</v>
      </c>
      <c r="F185" s="13" t="s">
        <v>190</v>
      </c>
      <c r="G185" s="20">
        <v>20348</v>
      </c>
    </row>
    <row r="186" spans="1:7">
      <c r="A186" s="3" t="s">
        <v>136</v>
      </c>
      <c r="B186" s="35">
        <v>40546</v>
      </c>
      <c r="C186" s="35">
        <v>41277</v>
      </c>
      <c r="D186" s="13" t="s">
        <v>190</v>
      </c>
      <c r="E186" s="14" t="s">
        <v>580</v>
      </c>
      <c r="F186" s="13" t="s">
        <v>190</v>
      </c>
      <c r="G186" s="20">
        <v>21126</v>
      </c>
    </row>
    <row r="187" spans="1:7">
      <c r="A187" s="3" t="s">
        <v>137</v>
      </c>
      <c r="B187" s="34">
        <v>28858</v>
      </c>
      <c r="C187" s="34">
        <v>39085</v>
      </c>
      <c r="D187" s="13" t="s">
        <v>190</v>
      </c>
      <c r="E187" s="13" t="s">
        <v>581</v>
      </c>
      <c r="F187" s="13" t="s">
        <v>190</v>
      </c>
      <c r="G187" s="20">
        <v>14669</v>
      </c>
    </row>
    <row r="188" spans="1:7">
      <c r="A188" s="3" t="s">
        <v>201</v>
      </c>
      <c r="B188" s="35">
        <v>40546</v>
      </c>
      <c r="C188" s="35" t="s">
        <v>190</v>
      </c>
      <c r="D188" s="14" t="s">
        <v>190</v>
      </c>
      <c r="E188" s="14" t="s">
        <v>610</v>
      </c>
      <c r="F188" s="14" t="s">
        <v>190</v>
      </c>
      <c r="G188" s="20">
        <v>21142</v>
      </c>
    </row>
    <row r="189" spans="1:7">
      <c r="A189" s="3" t="s">
        <v>138</v>
      </c>
      <c r="B189" s="35">
        <v>40546</v>
      </c>
      <c r="C189" s="35">
        <v>42007</v>
      </c>
      <c r="D189" s="13" t="s">
        <v>190</v>
      </c>
      <c r="E189" s="13" t="s">
        <v>582</v>
      </c>
      <c r="F189" s="13" t="s">
        <v>190</v>
      </c>
      <c r="G189" s="20">
        <v>21114</v>
      </c>
    </row>
    <row r="190" spans="1:7">
      <c r="A190" s="3" t="s">
        <v>139</v>
      </c>
      <c r="B190" s="34">
        <v>34702</v>
      </c>
      <c r="C190" s="34">
        <v>40546</v>
      </c>
      <c r="D190" s="13" t="s">
        <v>583</v>
      </c>
      <c r="E190" s="13" t="s">
        <v>584</v>
      </c>
      <c r="F190" s="13" t="s">
        <v>190</v>
      </c>
      <c r="G190" s="20">
        <v>29524</v>
      </c>
    </row>
    <row r="191" spans="1:7">
      <c r="B191" s="35"/>
      <c r="C191" s="35"/>
    </row>
    <row r="192" spans="1:7">
      <c r="B192" s="30"/>
      <c r="C192" s="30"/>
    </row>
    <row r="193" spans="2:3">
      <c r="B193" s="30"/>
      <c r="C193" s="30"/>
    </row>
    <row r="194" spans="2:3">
      <c r="B194" s="30"/>
      <c r="C194" s="30"/>
    </row>
    <row r="195" spans="2:3">
      <c r="B195" s="30"/>
      <c r="C195" s="30"/>
    </row>
    <row r="196" spans="2:3">
      <c r="B196" s="30"/>
      <c r="C196" s="30"/>
    </row>
    <row r="197" spans="2:3">
      <c r="B197" s="30"/>
      <c r="C197" s="30"/>
    </row>
    <row r="198" spans="2:3">
      <c r="B198" s="30"/>
      <c r="C198" s="30"/>
    </row>
    <row r="199" spans="2:3">
      <c r="B199" s="30"/>
      <c r="C199" s="30"/>
    </row>
    <row r="200" spans="2:3">
      <c r="B200" s="30"/>
      <c r="C200" s="30"/>
    </row>
    <row r="201" spans="2:3">
      <c r="B201" s="30"/>
      <c r="C201" s="30"/>
    </row>
    <row r="202" spans="2:3">
      <c r="B202" s="30"/>
      <c r="C202" s="30"/>
    </row>
    <row r="203" spans="2:3">
      <c r="B203" s="30"/>
      <c r="C203" s="30"/>
    </row>
    <row r="204" spans="2:3">
      <c r="B204" s="30"/>
      <c r="C204" s="30"/>
    </row>
    <row r="205" spans="2:3">
      <c r="B205" s="30"/>
      <c r="C205" s="30"/>
    </row>
    <row r="206" spans="2:3">
      <c r="B206" s="30"/>
      <c r="C206" s="30"/>
    </row>
    <row r="207" spans="2:3">
      <c r="B207" s="30"/>
      <c r="C207" s="30"/>
    </row>
    <row r="208" spans="2:3">
      <c r="B208" s="30"/>
      <c r="C208" s="30"/>
    </row>
    <row r="209" spans="2:3">
      <c r="B209" s="30"/>
      <c r="C209" s="30"/>
    </row>
    <row r="210" spans="2:3">
      <c r="B210" s="30"/>
      <c r="C210" s="30"/>
    </row>
    <row r="211" spans="2:3">
      <c r="B211" s="30"/>
      <c r="C211" s="30"/>
    </row>
    <row r="212" spans="2:3">
      <c r="B212" s="30"/>
      <c r="C212" s="30"/>
    </row>
    <row r="213" spans="2:3">
      <c r="B213" s="30"/>
      <c r="C213" s="30"/>
    </row>
    <row r="214" spans="2:3">
      <c r="B214" s="30"/>
      <c r="C214" s="30"/>
    </row>
    <row r="215" spans="2:3">
      <c r="B215" s="30"/>
      <c r="C215" s="30"/>
    </row>
    <row r="216" spans="2:3">
      <c r="B216" s="30"/>
      <c r="C216" s="30"/>
    </row>
  </sheetData>
  <autoFilter ref="A1:G1" xr:uid="{DB458860-004E-9244-BD3B-C4B65CEB4EC1}">
    <sortState xmlns:xlrd2="http://schemas.microsoft.com/office/spreadsheetml/2017/richdata2" ref="A2:G190">
      <sortCondition ref="A1:A190"/>
    </sortState>
  </autoFilter>
  <conditionalFormatting sqref="A61">
    <cfRule type="cellIs" dxfId="15" priority="28" operator="equal">
      <formula>" "</formula>
    </cfRule>
  </conditionalFormatting>
  <conditionalFormatting sqref="B2:G2 C3:G9 B3:B17 C10:D10 A18:B18 B19:B52 C35:C38 C49:C52 C54:C56 B54:B190 C57:G61 C62:D62 F62 C63:G80 C81:D81 F81 C82:G120 C121:C127 C129:C190 B191:C191">
    <cfRule type="cellIs" dxfId="14" priority="56" operator="equal">
      <formula>" "</formula>
    </cfRule>
  </conditionalFormatting>
  <conditionalFormatting sqref="C11:G34">
    <cfRule type="cellIs" dxfId="13" priority="42" operator="equal">
      <formula>" "</formula>
    </cfRule>
  </conditionalFormatting>
  <conditionalFormatting sqref="C39:G48">
    <cfRule type="cellIs" dxfId="12" priority="31" operator="equal">
      <formula>" "</formula>
    </cfRule>
  </conditionalFormatting>
  <conditionalFormatting sqref="D35:F36 G35:G38 D37 D38:F38">
    <cfRule type="cellIs" dxfId="11" priority="36" operator="equal">
      <formula>" "</formula>
    </cfRule>
  </conditionalFormatting>
  <conditionalFormatting sqref="D121:F135">
    <cfRule type="cellIs" dxfId="10" priority="23" operator="equal">
      <formula>" "</formula>
    </cfRule>
  </conditionalFormatting>
  <conditionalFormatting sqref="D137:F159">
    <cfRule type="cellIs" dxfId="9" priority="14" operator="equal">
      <formula>" "</formula>
    </cfRule>
  </conditionalFormatting>
  <conditionalFormatting sqref="D49:G50 E51:F51 D52:G56">
    <cfRule type="cellIs" dxfId="8" priority="30" operator="equal">
      <formula>" "</formula>
    </cfRule>
  </conditionalFormatting>
  <conditionalFormatting sqref="D136:G136">
    <cfRule type="cellIs" dxfId="7" priority="21" operator="equal">
      <formula>" "</formula>
    </cfRule>
  </conditionalFormatting>
  <conditionalFormatting sqref="F10">
    <cfRule type="cellIs" dxfId="6" priority="57" operator="equal">
      <formula>" "</formula>
    </cfRule>
  </conditionalFormatting>
  <conditionalFormatting sqref="F37">
    <cfRule type="cellIs" dxfId="5" priority="37" operator="equal">
      <formula>" "</formula>
    </cfRule>
  </conditionalFormatting>
  <conditionalFormatting sqref="G121:G133">
    <cfRule type="cellIs" dxfId="4" priority="16" operator="equal">
      <formula>" "</formula>
    </cfRule>
  </conditionalFormatting>
  <conditionalFormatting sqref="G138:G159">
    <cfRule type="cellIs" dxfId="3" priority="9" operator="equal">
      <formula>" "</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124D1-8948-4042-ABAF-C07797E99943}">
  <dimension ref="A1:E13"/>
  <sheetViews>
    <sheetView zoomScaleNormal="100" workbookViewId="0">
      <pane ySplit="1" topLeftCell="A2" activePane="bottomLeft" state="frozen"/>
      <selection pane="bottomLeft" activeCell="C31" sqref="C31"/>
    </sheetView>
  </sheetViews>
  <sheetFormatPr baseColWidth="10" defaultColWidth="11.5" defaultRowHeight="15"/>
  <cols>
    <col min="1" max="5" width="30.33203125" customWidth="1"/>
  </cols>
  <sheetData>
    <row r="1" spans="1:5" s="91" customFormat="1">
      <c r="A1" s="90" t="s">
        <v>678</v>
      </c>
      <c r="B1" s="90" t="s">
        <v>679</v>
      </c>
      <c r="C1" s="90" t="s">
        <v>680</v>
      </c>
      <c r="D1" s="90" t="s">
        <v>681</v>
      </c>
      <c r="E1" s="90" t="s">
        <v>682</v>
      </c>
    </row>
    <row r="2" spans="1:5">
      <c r="A2" s="15">
        <v>1996</v>
      </c>
      <c r="B2" s="16">
        <v>35374</v>
      </c>
      <c r="C2" s="16">
        <v>35375</v>
      </c>
      <c r="D2" s="16">
        <v>36102</v>
      </c>
    </row>
    <row r="3" spans="1:5">
      <c r="A3" s="15">
        <v>1998</v>
      </c>
      <c r="B3" s="16">
        <v>36102</v>
      </c>
      <c r="C3" s="16">
        <v>36103</v>
      </c>
      <c r="D3" s="16">
        <v>36837</v>
      </c>
    </row>
    <row r="4" spans="1:5">
      <c r="A4" s="15">
        <v>2000</v>
      </c>
      <c r="B4" s="16">
        <v>36837</v>
      </c>
      <c r="C4" s="16">
        <v>36838</v>
      </c>
      <c r="D4" s="16">
        <v>37565</v>
      </c>
    </row>
    <row r="5" spans="1:5">
      <c r="A5" s="15">
        <v>2002</v>
      </c>
      <c r="B5" s="16">
        <v>37565</v>
      </c>
      <c r="C5" s="16">
        <v>37566</v>
      </c>
      <c r="D5" s="16">
        <v>38293</v>
      </c>
      <c r="E5" s="17" t="s">
        <v>691</v>
      </c>
    </row>
    <row r="6" spans="1:5">
      <c r="A6" s="15">
        <v>2004</v>
      </c>
      <c r="B6" s="16">
        <v>38293</v>
      </c>
      <c r="C6" s="16">
        <v>38294</v>
      </c>
      <c r="D6" s="16">
        <v>39028</v>
      </c>
      <c r="E6" s="17" t="s">
        <v>690</v>
      </c>
    </row>
    <row r="7" spans="1:5">
      <c r="A7" s="15">
        <v>2006</v>
      </c>
      <c r="B7" s="16">
        <v>39028</v>
      </c>
      <c r="C7" s="16">
        <v>39029</v>
      </c>
      <c r="D7" s="16">
        <v>39756</v>
      </c>
      <c r="E7" s="17" t="s">
        <v>689</v>
      </c>
    </row>
    <row r="8" spans="1:5">
      <c r="A8" s="15">
        <v>2008</v>
      </c>
      <c r="B8" s="16">
        <v>39756</v>
      </c>
      <c r="C8" s="16">
        <v>39757</v>
      </c>
      <c r="D8" s="16">
        <v>40484</v>
      </c>
      <c r="E8" s="17" t="s">
        <v>688</v>
      </c>
    </row>
    <row r="9" spans="1:5">
      <c r="A9" s="15">
        <v>2010</v>
      </c>
      <c r="B9" s="16">
        <v>40484</v>
      </c>
      <c r="C9" s="16">
        <v>40485</v>
      </c>
      <c r="D9" s="16">
        <v>41219</v>
      </c>
      <c r="E9" s="17" t="s">
        <v>687</v>
      </c>
    </row>
    <row r="10" spans="1:5">
      <c r="A10" s="15">
        <v>2012</v>
      </c>
      <c r="B10" s="16">
        <v>41219</v>
      </c>
      <c r="C10" s="16">
        <v>41220</v>
      </c>
      <c r="D10" s="16">
        <v>41947</v>
      </c>
      <c r="E10" s="17" t="s">
        <v>686</v>
      </c>
    </row>
    <row r="11" spans="1:5">
      <c r="A11" s="15">
        <v>2014</v>
      </c>
      <c r="B11" s="16">
        <v>41947</v>
      </c>
      <c r="C11" s="16">
        <v>41948</v>
      </c>
      <c r="D11" s="16">
        <v>42682</v>
      </c>
      <c r="E11" s="17" t="s">
        <v>685</v>
      </c>
    </row>
    <row r="12" spans="1:5">
      <c r="A12" s="15">
        <v>2016</v>
      </c>
      <c r="B12" s="16">
        <v>42682</v>
      </c>
      <c r="C12" s="16">
        <v>42683</v>
      </c>
      <c r="D12" s="16">
        <v>43410</v>
      </c>
      <c r="E12" s="17" t="s">
        <v>684</v>
      </c>
    </row>
    <row r="13" spans="1:5">
      <c r="A13" s="15">
        <v>2018</v>
      </c>
      <c r="B13" s="16">
        <v>43410</v>
      </c>
      <c r="C13" s="16">
        <v>43411</v>
      </c>
      <c r="D13" s="16">
        <v>44138</v>
      </c>
      <c r="E13" s="17" t="s">
        <v>683</v>
      </c>
    </row>
  </sheetData>
  <autoFilter ref="A1:E1" xr:uid="{853918A3-D395-5946-861C-18C2C885CF04}">
    <sortState xmlns:xlrd2="http://schemas.microsoft.com/office/spreadsheetml/2017/richdata2" ref="A2:E13">
      <sortCondition ref="A1:A13"/>
    </sortState>
  </autoFilter>
  <hyperlinks>
    <hyperlink ref="E13" r:id="rId1" xr:uid="{E7F8403D-3AC4-F045-B530-7C3F96982DAF}"/>
    <hyperlink ref="E12" r:id="rId2" xr:uid="{483E56A3-286B-2D4C-9B28-BAF978BDF577}"/>
    <hyperlink ref="E11" r:id="rId3" xr:uid="{25EA594D-7C0F-BC43-80C4-8C52195EC107}"/>
    <hyperlink ref="E10" r:id="rId4" xr:uid="{DC66BF5B-0059-3F4F-9BC5-11F3AF90E0C4}"/>
    <hyperlink ref="E9" r:id="rId5" xr:uid="{7F18007D-BEE3-4F48-A30C-EC582C8CECDC}"/>
    <hyperlink ref="E8" r:id="rId6" xr:uid="{FD9A38F6-9267-8640-95D0-01D9C4AD9C19}"/>
    <hyperlink ref="E7" r:id="rId7" xr:uid="{9D553B62-4BB4-A444-98D1-4EEF1EDAF43D}"/>
    <hyperlink ref="E6" r:id="rId8" xr:uid="{CDFA2883-AFE3-2E44-9791-14BFFEFA9873}"/>
    <hyperlink ref="E5" r:id="rId9" xr:uid="{81BAAA7F-9A58-D248-98C0-783632E7B31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BC4B7-E864-1D47-B3A9-D9CB2F57586E}">
  <dimension ref="A1:I49"/>
  <sheetViews>
    <sheetView zoomScaleNormal="100" workbookViewId="0">
      <pane ySplit="1" topLeftCell="A15" activePane="bottomLeft" state="frozen"/>
      <selection pane="bottomLeft" activeCell="E19" sqref="E19"/>
    </sheetView>
  </sheetViews>
  <sheetFormatPr baseColWidth="10" defaultColWidth="10.83203125" defaultRowHeight="15"/>
  <cols>
    <col min="1" max="1" width="18" style="3" customWidth="1"/>
    <col min="2" max="2" width="22.6640625" style="3" customWidth="1"/>
    <col min="3" max="6" width="18" style="3" customWidth="1"/>
    <col min="7" max="9" width="18" style="33" customWidth="1"/>
    <col min="10" max="16384" width="10.83203125" style="3"/>
  </cols>
  <sheetData>
    <row r="1" spans="1:9" s="93" customFormat="1">
      <c r="A1" s="90" t="s">
        <v>712</v>
      </c>
      <c r="B1" s="90" t="s">
        <v>692</v>
      </c>
      <c r="C1" s="90" t="s">
        <v>140</v>
      </c>
      <c r="D1" s="90" t="s">
        <v>693</v>
      </c>
      <c r="E1" s="90" t="s">
        <v>694</v>
      </c>
      <c r="F1" s="90" t="s">
        <v>695</v>
      </c>
      <c r="G1" s="92" t="s">
        <v>731</v>
      </c>
      <c r="H1" s="92" t="s">
        <v>714</v>
      </c>
      <c r="I1" s="92" t="s">
        <v>732</v>
      </c>
    </row>
    <row r="2" spans="1:9">
      <c r="A2" s="3" t="s">
        <v>715</v>
      </c>
      <c r="B2" s="18" t="s">
        <v>618</v>
      </c>
      <c r="C2" s="3" t="s">
        <v>142</v>
      </c>
      <c r="D2" s="27">
        <f>YEAR(E2)</f>
        <v>2000</v>
      </c>
      <c r="E2" s="28">
        <v>36725</v>
      </c>
      <c r="F2" s="3" t="s">
        <v>716</v>
      </c>
      <c r="G2" s="31">
        <v>33911</v>
      </c>
      <c r="H2" s="31">
        <v>36102</v>
      </c>
      <c r="I2" s="31">
        <v>36837</v>
      </c>
    </row>
    <row r="3" spans="1:9">
      <c r="A3" s="3" t="s">
        <v>715</v>
      </c>
      <c r="B3" s="18" t="s">
        <v>622</v>
      </c>
      <c r="C3" s="22" t="s">
        <v>142</v>
      </c>
      <c r="D3" s="27">
        <f>YEAR(E3)</f>
        <v>2002</v>
      </c>
      <c r="E3" s="29">
        <v>37554</v>
      </c>
      <c r="F3" s="3" t="s">
        <v>696</v>
      </c>
      <c r="G3" s="31">
        <v>33183</v>
      </c>
      <c r="H3" s="31">
        <v>35374</v>
      </c>
      <c r="I3" s="31">
        <v>37565</v>
      </c>
    </row>
    <row r="4" spans="1:9" ht="15" customHeight="1">
      <c r="A4" s="3" t="s">
        <v>713</v>
      </c>
      <c r="B4" s="1" t="s">
        <v>17</v>
      </c>
      <c r="C4" s="27" t="s">
        <v>142</v>
      </c>
      <c r="D4" s="27">
        <v>2002</v>
      </c>
      <c r="E4" s="28">
        <v>37596</v>
      </c>
      <c r="F4" s="28" t="s">
        <v>699</v>
      </c>
      <c r="G4" s="31">
        <v>34645</v>
      </c>
      <c r="H4" s="31">
        <v>36837</v>
      </c>
      <c r="I4" s="32">
        <v>39028</v>
      </c>
    </row>
    <row r="5" spans="1:9" ht="15" customHeight="1">
      <c r="A5" s="3" t="s">
        <v>713</v>
      </c>
      <c r="B5" s="1" t="s">
        <v>96</v>
      </c>
      <c r="C5" s="24" t="s">
        <v>142</v>
      </c>
      <c r="D5" s="27">
        <v>2003</v>
      </c>
      <c r="E5" s="28">
        <v>37732</v>
      </c>
      <c r="F5" s="28" t="s">
        <v>709</v>
      </c>
      <c r="G5" s="31">
        <v>34646</v>
      </c>
      <c r="H5" s="31">
        <v>36837</v>
      </c>
      <c r="I5" s="32">
        <v>39028</v>
      </c>
    </row>
    <row r="6" spans="1:9" ht="16">
      <c r="A6" s="3" t="s">
        <v>713</v>
      </c>
      <c r="B6" s="1" t="s">
        <v>19</v>
      </c>
      <c r="C6" s="24" t="s">
        <v>142</v>
      </c>
      <c r="D6" s="24">
        <v>2004</v>
      </c>
      <c r="E6" s="25">
        <v>38308</v>
      </c>
      <c r="F6" s="25" t="s">
        <v>698</v>
      </c>
      <c r="G6" s="32">
        <v>36102</v>
      </c>
      <c r="H6" s="31">
        <v>38293</v>
      </c>
      <c r="I6" s="32">
        <v>40484</v>
      </c>
    </row>
    <row r="7" spans="1:9" ht="16">
      <c r="A7" s="3" t="s">
        <v>713</v>
      </c>
      <c r="B7" s="1" t="s">
        <v>23</v>
      </c>
      <c r="C7" s="37" t="s">
        <v>142</v>
      </c>
      <c r="D7" s="24">
        <v>2005</v>
      </c>
      <c r="E7" s="25">
        <v>38412</v>
      </c>
      <c r="F7" s="28" t="s">
        <v>700</v>
      </c>
      <c r="G7" s="31">
        <v>34646</v>
      </c>
      <c r="H7" s="31">
        <v>36837</v>
      </c>
      <c r="I7" s="31">
        <v>39028</v>
      </c>
    </row>
    <row r="8" spans="1:9" ht="16">
      <c r="A8" s="3" t="s">
        <v>713</v>
      </c>
      <c r="B8" s="1" t="s">
        <v>133</v>
      </c>
      <c r="C8" s="27" t="s">
        <v>142</v>
      </c>
      <c r="D8" s="24">
        <v>2005</v>
      </c>
      <c r="E8" s="25">
        <v>38617</v>
      </c>
      <c r="F8" s="28" t="s">
        <v>697</v>
      </c>
      <c r="G8" s="31">
        <v>34646</v>
      </c>
      <c r="H8" s="32">
        <v>36837</v>
      </c>
      <c r="I8" s="32">
        <v>39028</v>
      </c>
    </row>
    <row r="9" spans="1:9" ht="16">
      <c r="A9" s="3" t="s">
        <v>713</v>
      </c>
      <c r="B9" s="1" t="s">
        <v>42</v>
      </c>
      <c r="C9" s="24" t="s">
        <v>142</v>
      </c>
      <c r="D9" s="27">
        <v>2006</v>
      </c>
      <c r="E9" s="25">
        <v>38943</v>
      </c>
      <c r="F9" s="28" t="s">
        <v>702</v>
      </c>
      <c r="G9" s="31">
        <v>34646</v>
      </c>
      <c r="H9" s="31">
        <v>36837</v>
      </c>
      <c r="I9" s="32">
        <v>39028</v>
      </c>
    </row>
    <row r="10" spans="1:9" ht="16">
      <c r="A10" s="3" t="s">
        <v>713</v>
      </c>
      <c r="B10" s="1" t="s">
        <v>46</v>
      </c>
      <c r="C10" s="27" t="s">
        <v>142</v>
      </c>
      <c r="D10" s="27">
        <v>2006</v>
      </c>
      <c r="E10" s="28">
        <v>39001</v>
      </c>
      <c r="F10" s="28" t="s">
        <v>703</v>
      </c>
      <c r="G10" s="31">
        <v>36102</v>
      </c>
      <c r="H10" s="31">
        <v>38293</v>
      </c>
      <c r="I10" s="32">
        <v>40484</v>
      </c>
    </row>
    <row r="11" spans="1:9" ht="16">
      <c r="A11" s="3" t="s">
        <v>713</v>
      </c>
      <c r="B11" s="1" t="s">
        <v>46</v>
      </c>
      <c r="C11" s="27" t="s">
        <v>142</v>
      </c>
      <c r="D11" s="27">
        <v>2006</v>
      </c>
      <c r="E11" s="28">
        <v>39006</v>
      </c>
      <c r="F11" s="28" t="s">
        <v>703</v>
      </c>
      <c r="G11" s="31">
        <v>36102</v>
      </c>
      <c r="H11" s="31">
        <v>38293</v>
      </c>
      <c r="I11" s="32">
        <v>40484</v>
      </c>
    </row>
    <row r="12" spans="1:9" ht="16">
      <c r="A12" s="3" t="s">
        <v>713</v>
      </c>
      <c r="B12" s="1" t="s">
        <v>46</v>
      </c>
      <c r="C12" s="27" t="s">
        <v>142</v>
      </c>
      <c r="D12" s="27">
        <v>2006</v>
      </c>
      <c r="E12" s="28">
        <v>39034</v>
      </c>
      <c r="F12" s="28" t="s">
        <v>703</v>
      </c>
      <c r="G12" s="31">
        <v>36102</v>
      </c>
      <c r="H12" s="31">
        <v>38293</v>
      </c>
      <c r="I12" s="32">
        <v>40484</v>
      </c>
    </row>
    <row r="13" spans="1:9" ht="16">
      <c r="A13" s="3" t="s">
        <v>713</v>
      </c>
      <c r="B13" s="1" t="s">
        <v>92</v>
      </c>
      <c r="C13" s="24" t="s">
        <v>142</v>
      </c>
      <c r="D13" s="24">
        <v>2007</v>
      </c>
      <c r="E13" s="25">
        <v>39142</v>
      </c>
      <c r="F13" s="25" t="s">
        <v>708</v>
      </c>
      <c r="G13" s="32">
        <v>35374</v>
      </c>
      <c r="H13" s="31">
        <v>37565</v>
      </c>
      <c r="I13" s="32">
        <v>39756</v>
      </c>
    </row>
    <row r="14" spans="1:9" ht="16">
      <c r="A14" s="3" t="s">
        <v>713</v>
      </c>
      <c r="B14" s="1" t="s">
        <v>117</v>
      </c>
      <c r="C14" s="27" t="s">
        <v>142</v>
      </c>
      <c r="D14" s="24">
        <v>2007</v>
      </c>
      <c r="E14" s="25">
        <v>39231</v>
      </c>
      <c r="F14" s="28" t="s">
        <v>706</v>
      </c>
      <c r="G14" s="31">
        <v>35374</v>
      </c>
      <c r="H14" s="31">
        <v>37565</v>
      </c>
      <c r="I14" s="31">
        <v>39756</v>
      </c>
    </row>
    <row r="15" spans="1:9">
      <c r="A15" s="3" t="s">
        <v>715</v>
      </c>
      <c r="B15" s="18" t="s">
        <v>626</v>
      </c>
      <c r="C15" s="3" t="s">
        <v>142</v>
      </c>
      <c r="D15" s="27">
        <f>YEAR(E15)</f>
        <v>2007</v>
      </c>
      <c r="E15" s="29">
        <v>39237</v>
      </c>
      <c r="F15" s="3" t="s">
        <v>720</v>
      </c>
      <c r="G15" s="31">
        <v>36837</v>
      </c>
      <c r="H15" s="31">
        <v>39028</v>
      </c>
      <c r="I15" s="31">
        <v>39756</v>
      </c>
    </row>
    <row r="16" spans="1:9" ht="16">
      <c r="A16" s="3" t="s">
        <v>713</v>
      </c>
      <c r="B16" s="1" t="s">
        <v>26</v>
      </c>
      <c r="C16" s="24" t="s">
        <v>142</v>
      </c>
      <c r="D16" s="24">
        <v>2007</v>
      </c>
      <c r="E16" s="25">
        <v>39272</v>
      </c>
      <c r="F16" s="25" t="s">
        <v>701</v>
      </c>
      <c r="G16" s="31">
        <v>37565</v>
      </c>
      <c r="H16" s="31">
        <v>38293</v>
      </c>
      <c r="I16" s="32">
        <v>40484</v>
      </c>
    </row>
    <row r="17" spans="1:9" ht="16">
      <c r="A17" s="3" t="s">
        <v>713</v>
      </c>
      <c r="B17" s="1" t="s">
        <v>74</v>
      </c>
      <c r="C17" s="27" t="s">
        <v>142</v>
      </c>
      <c r="D17" s="24">
        <v>2007</v>
      </c>
      <c r="E17" s="25">
        <v>39282</v>
      </c>
      <c r="F17" s="28" t="s">
        <v>706</v>
      </c>
      <c r="G17" s="31">
        <v>36102</v>
      </c>
      <c r="H17" s="31">
        <v>38293</v>
      </c>
      <c r="I17" s="32">
        <v>40484</v>
      </c>
    </row>
    <row r="18" spans="1:9" ht="16">
      <c r="A18" s="3" t="s">
        <v>713</v>
      </c>
      <c r="B18" s="1" t="s">
        <v>72</v>
      </c>
      <c r="C18" s="24" t="s">
        <v>142</v>
      </c>
      <c r="D18" s="24">
        <v>2007</v>
      </c>
      <c r="E18" s="25">
        <v>39321</v>
      </c>
      <c r="F18" s="25" t="s">
        <v>705</v>
      </c>
      <c r="G18" s="32">
        <v>35373</v>
      </c>
      <c r="H18" s="32">
        <v>37564</v>
      </c>
      <c r="I18" s="32">
        <v>39756</v>
      </c>
    </row>
    <row r="19" spans="1:9" ht="16">
      <c r="A19" s="3" t="s">
        <v>713</v>
      </c>
      <c r="B19" s="1" t="s">
        <v>81</v>
      </c>
      <c r="C19" s="24" t="s">
        <v>142</v>
      </c>
      <c r="D19" s="27">
        <v>2007</v>
      </c>
      <c r="E19" s="28">
        <v>39436</v>
      </c>
      <c r="F19" s="28" t="s">
        <v>701</v>
      </c>
      <c r="G19" s="31">
        <v>35374</v>
      </c>
      <c r="H19" s="31">
        <v>37565</v>
      </c>
      <c r="I19" s="32">
        <v>39756</v>
      </c>
    </row>
    <row r="20" spans="1:9" ht="16">
      <c r="A20" s="3" t="s">
        <v>713</v>
      </c>
      <c r="B20" s="1" t="s">
        <v>19</v>
      </c>
      <c r="C20" s="24" t="s">
        <v>142</v>
      </c>
      <c r="D20" s="24">
        <v>2008</v>
      </c>
      <c r="E20" s="25">
        <v>39612</v>
      </c>
      <c r="F20" s="25" t="s">
        <v>698</v>
      </c>
      <c r="G20" s="32">
        <v>36102</v>
      </c>
      <c r="H20" s="31">
        <v>38293</v>
      </c>
      <c r="I20" s="32">
        <v>40484</v>
      </c>
    </row>
    <row r="21" spans="1:9" ht="16">
      <c r="A21" s="3" t="s">
        <v>713</v>
      </c>
      <c r="B21" s="1" t="s">
        <v>41</v>
      </c>
      <c r="C21" s="24" t="s">
        <v>142</v>
      </c>
      <c r="D21" s="24">
        <v>2008</v>
      </c>
      <c r="E21" s="25">
        <v>39612</v>
      </c>
      <c r="F21" s="25" t="s">
        <v>704</v>
      </c>
      <c r="G21" s="32">
        <v>36837</v>
      </c>
      <c r="H21" s="31">
        <v>39028</v>
      </c>
      <c r="I21" s="32">
        <v>41219</v>
      </c>
    </row>
    <row r="22" spans="1:9" ht="16">
      <c r="A22" s="3" t="s">
        <v>713</v>
      </c>
      <c r="B22" s="1" t="s">
        <v>62</v>
      </c>
      <c r="C22" s="24" t="s">
        <v>142</v>
      </c>
      <c r="D22" s="24">
        <v>2009</v>
      </c>
      <c r="E22" s="25">
        <v>39980</v>
      </c>
      <c r="F22" s="25" t="s">
        <v>703</v>
      </c>
      <c r="G22" s="32">
        <v>36837</v>
      </c>
      <c r="H22" s="31">
        <v>39028</v>
      </c>
      <c r="I22" s="32">
        <v>41219</v>
      </c>
    </row>
    <row r="23" spans="1:9">
      <c r="A23" s="3" t="s">
        <v>715</v>
      </c>
      <c r="B23" s="18" t="s">
        <v>632</v>
      </c>
      <c r="C23" s="3" t="s">
        <v>142</v>
      </c>
      <c r="D23" s="27">
        <f>YEAR(E23)</f>
        <v>2009</v>
      </c>
      <c r="E23" s="29">
        <v>40050</v>
      </c>
      <c r="F23" s="3" t="s">
        <v>717</v>
      </c>
      <c r="G23" s="31">
        <v>36837</v>
      </c>
      <c r="H23" s="31">
        <v>39028</v>
      </c>
      <c r="I23" s="31">
        <v>40197</v>
      </c>
    </row>
    <row r="24" spans="1:9" ht="16">
      <c r="A24" s="3" t="s">
        <v>713</v>
      </c>
      <c r="B24" s="1" t="s">
        <v>82</v>
      </c>
      <c r="C24" s="27" t="s">
        <v>142</v>
      </c>
      <c r="D24" s="27">
        <v>2009</v>
      </c>
      <c r="E24" s="28">
        <v>40151</v>
      </c>
      <c r="F24" s="28" t="s">
        <v>700</v>
      </c>
      <c r="G24" s="31">
        <v>37564</v>
      </c>
      <c r="H24" s="31">
        <v>39756</v>
      </c>
      <c r="I24" s="32">
        <v>41947</v>
      </c>
    </row>
    <row r="25" spans="1:9" ht="16">
      <c r="A25" s="3" t="s">
        <v>713</v>
      </c>
      <c r="B25" s="1" t="s">
        <v>46</v>
      </c>
      <c r="C25" s="27" t="s">
        <v>142</v>
      </c>
      <c r="D25" s="27">
        <v>2010</v>
      </c>
      <c r="E25" s="28">
        <v>40187</v>
      </c>
      <c r="F25" s="28" t="s">
        <v>703</v>
      </c>
      <c r="G25" s="31">
        <v>36102</v>
      </c>
      <c r="H25" s="31">
        <v>38293</v>
      </c>
      <c r="I25" s="32">
        <v>40484</v>
      </c>
    </row>
    <row r="26" spans="1:9">
      <c r="A26" s="3" t="s">
        <v>715</v>
      </c>
      <c r="B26" s="18" t="s">
        <v>633</v>
      </c>
      <c r="C26" s="3" t="s">
        <v>142</v>
      </c>
      <c r="D26" s="27">
        <f>YEAR(E26)</f>
        <v>2010</v>
      </c>
      <c r="E26" s="29">
        <v>40357</v>
      </c>
      <c r="F26" s="3" t="s">
        <v>718</v>
      </c>
      <c r="G26" s="31">
        <v>36837</v>
      </c>
      <c r="H26" s="31">
        <v>39028</v>
      </c>
      <c r="I26" s="31">
        <v>40484</v>
      </c>
    </row>
    <row r="27" spans="1:9" ht="16">
      <c r="A27" s="3" t="s">
        <v>713</v>
      </c>
      <c r="B27" s="1" t="s">
        <v>46</v>
      </c>
      <c r="C27" s="27" t="s">
        <v>142</v>
      </c>
      <c r="D27" s="27">
        <v>2012</v>
      </c>
      <c r="E27" s="28">
        <v>40954</v>
      </c>
      <c r="F27" s="28" t="s">
        <v>703</v>
      </c>
      <c r="G27" s="31">
        <v>38293</v>
      </c>
      <c r="H27" s="32">
        <v>40484</v>
      </c>
      <c r="I27" s="32">
        <v>42682</v>
      </c>
    </row>
    <row r="28" spans="1:9" ht="16">
      <c r="A28" s="3" t="s">
        <v>713</v>
      </c>
      <c r="B28" s="1" t="s">
        <v>211</v>
      </c>
      <c r="C28" s="27" t="s">
        <v>142</v>
      </c>
      <c r="D28" s="27">
        <v>2012</v>
      </c>
      <c r="E28" s="28">
        <v>41054</v>
      </c>
      <c r="F28" s="3" t="s">
        <v>722</v>
      </c>
      <c r="G28" s="31">
        <v>38293</v>
      </c>
      <c r="H28" s="31">
        <v>40484</v>
      </c>
      <c r="I28" s="31">
        <v>41947</v>
      </c>
    </row>
    <row r="29" spans="1:9" ht="16">
      <c r="A29" s="3" t="s">
        <v>713</v>
      </c>
      <c r="B29" s="1" t="s">
        <v>80</v>
      </c>
      <c r="C29" s="27" t="s">
        <v>142</v>
      </c>
      <c r="D29" s="24">
        <v>2012</v>
      </c>
      <c r="E29" s="25">
        <v>41058</v>
      </c>
      <c r="F29" s="28" t="s">
        <v>707</v>
      </c>
      <c r="G29" s="31">
        <v>39756</v>
      </c>
      <c r="H29" s="31">
        <v>40484</v>
      </c>
      <c r="I29" s="32">
        <v>42682</v>
      </c>
    </row>
    <row r="30" spans="1:9" ht="16">
      <c r="A30" s="3" t="s">
        <v>713</v>
      </c>
      <c r="B30" s="1" t="s">
        <v>102</v>
      </c>
      <c r="C30" s="24" t="s">
        <v>142</v>
      </c>
      <c r="D30" s="24">
        <v>2012</v>
      </c>
      <c r="E30" s="25">
        <v>41214</v>
      </c>
      <c r="F30" s="25" t="s">
        <v>710</v>
      </c>
      <c r="G30" s="31">
        <v>38293</v>
      </c>
      <c r="H30" s="31">
        <v>39028</v>
      </c>
      <c r="I30" s="32">
        <v>41219</v>
      </c>
    </row>
    <row r="31" spans="1:9">
      <c r="A31" s="3" t="s">
        <v>715</v>
      </c>
      <c r="B31" s="18" t="s">
        <v>634</v>
      </c>
      <c r="C31" s="3" t="s">
        <v>142</v>
      </c>
      <c r="D31" s="27">
        <f>YEAR(E31)</f>
        <v>2012</v>
      </c>
      <c r="E31" s="29">
        <v>41260</v>
      </c>
      <c r="F31" s="3" t="s">
        <v>719</v>
      </c>
      <c r="G31" s="31">
        <v>38293</v>
      </c>
      <c r="H31" s="31">
        <v>40484</v>
      </c>
      <c r="I31" s="31">
        <v>41947</v>
      </c>
    </row>
    <row r="32" spans="1:9" ht="16">
      <c r="A32" s="3" t="s">
        <v>713</v>
      </c>
      <c r="B32" s="1" t="s">
        <v>84</v>
      </c>
      <c r="C32" s="24" t="s">
        <v>142</v>
      </c>
      <c r="D32" s="27">
        <v>2012</v>
      </c>
      <c r="E32" s="28">
        <v>41266</v>
      </c>
      <c r="F32" s="28" t="s">
        <v>705</v>
      </c>
      <c r="G32" s="31">
        <v>38293</v>
      </c>
      <c r="H32" s="31">
        <v>40484</v>
      </c>
      <c r="I32" s="32">
        <v>42682</v>
      </c>
    </row>
    <row r="33" spans="1:9" ht="16">
      <c r="A33" s="3" t="s">
        <v>713</v>
      </c>
      <c r="B33" s="1" t="s">
        <v>102</v>
      </c>
      <c r="C33" s="24" t="s">
        <v>142</v>
      </c>
      <c r="D33" s="24">
        <v>2013</v>
      </c>
      <c r="E33" s="25">
        <v>41303</v>
      </c>
      <c r="F33" s="25" t="s">
        <v>710</v>
      </c>
      <c r="G33" s="31">
        <v>39028</v>
      </c>
      <c r="H33" s="32">
        <v>41219</v>
      </c>
      <c r="I33" s="32">
        <v>43410</v>
      </c>
    </row>
    <row r="34" spans="1:9">
      <c r="A34" s="3" t="s">
        <v>715</v>
      </c>
      <c r="B34" s="18" t="s">
        <v>617</v>
      </c>
      <c r="C34" s="3" t="s">
        <v>142</v>
      </c>
      <c r="D34" s="27">
        <f>YEAR(E34)</f>
        <v>2013</v>
      </c>
      <c r="E34" s="29">
        <v>41428</v>
      </c>
      <c r="F34" s="3" t="s">
        <v>710</v>
      </c>
      <c r="G34" s="31">
        <v>37565</v>
      </c>
      <c r="H34" s="31">
        <v>39756</v>
      </c>
      <c r="I34" s="31">
        <v>41563</v>
      </c>
    </row>
    <row r="35" spans="1:9" ht="16">
      <c r="A35" s="3" t="s">
        <v>713</v>
      </c>
      <c r="B35" s="1" t="s">
        <v>61</v>
      </c>
      <c r="C35" s="27" t="s">
        <v>142</v>
      </c>
      <c r="D35" s="27">
        <v>2014</v>
      </c>
      <c r="E35" s="28">
        <v>41843</v>
      </c>
      <c r="F35" s="28" t="s">
        <v>700</v>
      </c>
      <c r="G35" s="31">
        <v>41217</v>
      </c>
      <c r="H35" s="31">
        <v>39756</v>
      </c>
      <c r="I35" s="32">
        <v>41947</v>
      </c>
    </row>
    <row r="36" spans="1:9" ht="16">
      <c r="A36" s="3" t="s">
        <v>713</v>
      </c>
      <c r="B36" s="1" t="s">
        <v>79</v>
      </c>
      <c r="C36" s="24" t="s">
        <v>142</v>
      </c>
      <c r="D36" s="27">
        <v>2014</v>
      </c>
      <c r="E36" s="28">
        <v>41923</v>
      </c>
      <c r="F36" s="28" t="s">
        <v>702</v>
      </c>
      <c r="G36" s="31">
        <v>37564</v>
      </c>
      <c r="H36" s="31">
        <v>39756</v>
      </c>
      <c r="I36" s="32">
        <v>41947</v>
      </c>
    </row>
    <row r="37" spans="1:9" ht="16">
      <c r="A37" s="3" t="s">
        <v>713</v>
      </c>
      <c r="B37" s="1" t="s">
        <v>5</v>
      </c>
      <c r="C37" s="24" t="s">
        <v>142</v>
      </c>
      <c r="D37" s="24">
        <v>2017</v>
      </c>
      <c r="E37" s="25">
        <v>43055</v>
      </c>
      <c r="F37" s="25" t="s">
        <v>696</v>
      </c>
      <c r="G37" s="32">
        <v>39756</v>
      </c>
      <c r="H37" s="32">
        <v>41947</v>
      </c>
      <c r="I37" s="32">
        <v>44138</v>
      </c>
    </row>
    <row r="38" spans="1:9">
      <c r="A38" s="3" t="s">
        <v>713</v>
      </c>
      <c r="B38" s="26" t="s">
        <v>121</v>
      </c>
      <c r="C38" s="27" t="s">
        <v>142</v>
      </c>
      <c r="D38" s="27">
        <v>2017</v>
      </c>
      <c r="E38" s="28">
        <v>43083</v>
      </c>
      <c r="F38" s="28" t="s">
        <v>711</v>
      </c>
      <c r="G38" s="31">
        <v>39028</v>
      </c>
      <c r="H38" s="31">
        <v>41219</v>
      </c>
      <c r="I38" s="31">
        <v>43410</v>
      </c>
    </row>
    <row r="39" spans="1:9">
      <c r="A39" s="3" t="s">
        <v>715</v>
      </c>
      <c r="B39" s="18" t="s">
        <v>638</v>
      </c>
      <c r="C39" s="3" t="s">
        <v>142</v>
      </c>
      <c r="D39" s="27">
        <f>YEAR(E39)</f>
        <v>2018</v>
      </c>
      <c r="E39" s="28">
        <v>43337</v>
      </c>
      <c r="F39" s="3" t="s">
        <v>721</v>
      </c>
      <c r="G39" s="31">
        <v>40484</v>
      </c>
      <c r="H39" s="31">
        <v>42682</v>
      </c>
      <c r="I39" s="31">
        <v>44138</v>
      </c>
    </row>
    <row r="40" spans="1:9" ht="16">
      <c r="A40" s="3" t="s">
        <v>713</v>
      </c>
      <c r="B40" s="1" t="s">
        <v>21</v>
      </c>
      <c r="C40" s="24" t="s">
        <v>142</v>
      </c>
      <c r="D40" s="27">
        <v>2018</v>
      </c>
      <c r="E40" s="28">
        <v>43415</v>
      </c>
      <c r="F40" s="28" t="s">
        <v>699</v>
      </c>
      <c r="G40" s="31">
        <v>41947</v>
      </c>
      <c r="H40" s="31">
        <v>43410</v>
      </c>
      <c r="I40" s="31">
        <v>44138</v>
      </c>
    </row>
    <row r="42" spans="1:9">
      <c r="B42" s="18"/>
    </row>
    <row r="43" spans="1:9">
      <c r="B43" s="18"/>
    </row>
    <row r="44" spans="1:9">
      <c r="B44" s="18"/>
    </row>
    <row r="45" spans="1:9">
      <c r="B45" s="18"/>
    </row>
    <row r="46" spans="1:9">
      <c r="B46" s="18"/>
    </row>
    <row r="47" spans="1:9">
      <c r="B47" s="18"/>
    </row>
    <row r="48" spans="1:9">
      <c r="B48" s="18"/>
    </row>
    <row r="49" spans="2:2">
      <c r="B49" s="18"/>
    </row>
  </sheetData>
  <autoFilter ref="A1:I1" xr:uid="{A3E03D90-AB86-1C4C-9939-E9089EAB8205}">
    <sortState xmlns:xlrd2="http://schemas.microsoft.com/office/spreadsheetml/2017/richdata2" ref="A2:I40">
      <sortCondition ref="E1:E40"/>
    </sortState>
  </autoFilter>
  <conditionalFormatting sqref="B31:I31">
    <cfRule type="cellIs" dxfId="2" priority="3" operator="equal">
      <formula>" "</formula>
    </cfRule>
  </conditionalFormatting>
  <conditionalFormatting sqref="C32:E32">
    <cfRule type="cellIs" dxfId="1" priority="1" operator="equal">
      <formula>" "</formula>
    </cfRule>
  </conditionalFormatting>
  <conditionalFormatting sqref="C2:I30">
    <cfRule type="cellIs" dxfId="0" priority="2" operator="equal">
      <formula>" "</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F95C-ECE3-3F45-A457-ED99115FB583}">
  <dimension ref="A1:G89"/>
  <sheetViews>
    <sheetView zoomScale="120" zoomScaleNormal="120" workbookViewId="0">
      <pane ySplit="1" topLeftCell="A2" activePane="bottomLeft" state="frozen"/>
      <selection pane="bottomLeft" activeCell="F56" sqref="F56"/>
    </sheetView>
  </sheetViews>
  <sheetFormatPr baseColWidth="10" defaultColWidth="10.83203125" defaultRowHeight="15"/>
  <cols>
    <col min="1" max="2" width="18.6640625" style="3" customWidth="1"/>
    <col min="3" max="3" width="10.33203125" style="3" customWidth="1"/>
    <col min="4" max="4" width="18.6640625" style="3" customWidth="1"/>
    <col min="5" max="7" width="18.6640625" style="30" customWidth="1"/>
    <col min="8" max="16384" width="10.83203125" style="3"/>
  </cols>
  <sheetData>
    <row r="1" spans="1:7" s="93" customFormat="1">
      <c r="A1" s="90" t="s">
        <v>734</v>
      </c>
      <c r="B1" s="90" t="s">
        <v>682</v>
      </c>
      <c r="C1" s="90" t="s">
        <v>1353</v>
      </c>
      <c r="D1" s="90" t="s">
        <v>1352</v>
      </c>
      <c r="E1" s="94" t="s">
        <v>1351</v>
      </c>
      <c r="F1" s="94" t="s">
        <v>1350</v>
      </c>
      <c r="G1" s="94" t="s">
        <v>1354</v>
      </c>
    </row>
    <row r="2" spans="1:7">
      <c r="A2" s="3">
        <v>1999</v>
      </c>
      <c r="C2" s="38">
        <v>1</v>
      </c>
      <c r="D2" s="3" t="s">
        <v>724</v>
      </c>
      <c r="E2" s="4">
        <v>36161</v>
      </c>
      <c r="F2" s="4">
        <v>36250</v>
      </c>
      <c r="G2" s="4">
        <v>36265</v>
      </c>
    </row>
    <row r="3" spans="1:7">
      <c r="A3" s="3">
        <v>1999</v>
      </c>
      <c r="C3" s="38">
        <v>2</v>
      </c>
      <c r="D3" s="3" t="s">
        <v>725</v>
      </c>
      <c r="E3" s="4">
        <v>36251</v>
      </c>
      <c r="F3" s="4">
        <v>36341</v>
      </c>
      <c r="G3" s="4">
        <v>36356</v>
      </c>
    </row>
    <row r="4" spans="1:7">
      <c r="A4" s="3">
        <v>1999</v>
      </c>
      <c r="C4" s="38">
        <v>3</v>
      </c>
      <c r="D4" s="3" t="s">
        <v>726</v>
      </c>
      <c r="E4" s="4">
        <v>36342</v>
      </c>
      <c r="F4" s="4">
        <v>36433</v>
      </c>
      <c r="G4" s="4">
        <v>36448</v>
      </c>
    </row>
    <row r="5" spans="1:7">
      <c r="A5" s="3">
        <v>1999</v>
      </c>
      <c r="C5" s="38">
        <v>4</v>
      </c>
      <c r="D5" s="3" t="s">
        <v>733</v>
      </c>
      <c r="E5" s="4">
        <v>36434</v>
      </c>
      <c r="F5" s="4">
        <v>36525</v>
      </c>
      <c r="G5" s="4">
        <v>36556</v>
      </c>
    </row>
    <row r="6" spans="1:7">
      <c r="A6" s="3">
        <v>2000</v>
      </c>
      <c r="C6" s="38">
        <v>1</v>
      </c>
      <c r="D6" s="3" t="s">
        <v>724</v>
      </c>
      <c r="E6" s="4">
        <v>36526</v>
      </c>
      <c r="F6" s="4">
        <v>36616</v>
      </c>
      <c r="G6" s="4">
        <v>36631</v>
      </c>
    </row>
    <row r="7" spans="1:7">
      <c r="A7" s="3">
        <v>2000</v>
      </c>
      <c r="C7" s="38">
        <v>2</v>
      </c>
      <c r="D7" s="3" t="s">
        <v>725</v>
      </c>
      <c r="E7" s="4">
        <v>36617</v>
      </c>
      <c r="F7" s="4">
        <v>36707</v>
      </c>
      <c r="G7" s="4">
        <v>36722</v>
      </c>
    </row>
    <row r="8" spans="1:7">
      <c r="A8" s="3">
        <v>2000</v>
      </c>
      <c r="C8" s="38">
        <v>3</v>
      </c>
      <c r="D8" s="3" t="s">
        <v>726</v>
      </c>
      <c r="E8" s="4">
        <v>36708</v>
      </c>
      <c r="F8" s="4">
        <v>36799</v>
      </c>
      <c r="G8" s="4">
        <v>36814</v>
      </c>
    </row>
    <row r="9" spans="1:7">
      <c r="A9" s="3">
        <v>2000</v>
      </c>
      <c r="C9" s="38">
        <v>4</v>
      </c>
      <c r="D9" s="3" t="s">
        <v>733</v>
      </c>
      <c r="E9" s="4">
        <v>36800</v>
      </c>
      <c r="F9" s="4">
        <v>36891</v>
      </c>
      <c r="G9" s="4">
        <v>36922</v>
      </c>
    </row>
    <row r="10" spans="1:7">
      <c r="A10" s="3">
        <v>2001</v>
      </c>
      <c r="C10" s="38">
        <v>1</v>
      </c>
      <c r="D10" s="3" t="s">
        <v>724</v>
      </c>
      <c r="E10" s="4">
        <v>36892</v>
      </c>
      <c r="F10" s="4">
        <v>36981</v>
      </c>
      <c r="G10" s="4">
        <v>36996</v>
      </c>
    </row>
    <row r="11" spans="1:7">
      <c r="A11" s="3">
        <v>2001</v>
      </c>
      <c r="C11" s="38">
        <v>2</v>
      </c>
      <c r="D11" s="3" t="s">
        <v>725</v>
      </c>
      <c r="E11" s="4">
        <v>36982</v>
      </c>
      <c r="F11" s="4">
        <v>37072</v>
      </c>
      <c r="G11" s="4">
        <v>37087</v>
      </c>
    </row>
    <row r="12" spans="1:7">
      <c r="A12" s="3">
        <v>2001</v>
      </c>
      <c r="C12" s="38">
        <v>3</v>
      </c>
      <c r="D12" s="3" t="s">
        <v>726</v>
      </c>
      <c r="E12" s="4">
        <v>37073</v>
      </c>
      <c r="F12" s="4">
        <v>37164</v>
      </c>
      <c r="G12" s="4">
        <v>37179</v>
      </c>
    </row>
    <row r="13" spans="1:7">
      <c r="A13" s="3">
        <v>2001</v>
      </c>
      <c r="C13" s="38">
        <v>4</v>
      </c>
      <c r="D13" s="3" t="s">
        <v>733</v>
      </c>
      <c r="E13" s="4">
        <v>37165</v>
      </c>
      <c r="F13" s="4">
        <v>37256</v>
      </c>
      <c r="G13" s="4">
        <v>37287</v>
      </c>
    </row>
    <row r="14" spans="1:7">
      <c r="A14" s="3">
        <v>2002</v>
      </c>
      <c r="C14" s="38">
        <v>1</v>
      </c>
      <c r="D14" s="3" t="s">
        <v>724</v>
      </c>
      <c r="E14" s="4">
        <v>37257</v>
      </c>
      <c r="F14" s="4">
        <v>37346</v>
      </c>
      <c r="G14" s="4">
        <v>37361</v>
      </c>
    </row>
    <row r="15" spans="1:7">
      <c r="A15" s="3">
        <v>2002</v>
      </c>
      <c r="C15" s="38">
        <v>2</v>
      </c>
      <c r="D15" s="3" t="s">
        <v>725</v>
      </c>
      <c r="E15" s="4">
        <v>37347</v>
      </c>
      <c r="F15" s="4">
        <v>37437</v>
      </c>
      <c r="G15" s="4">
        <v>37452</v>
      </c>
    </row>
    <row r="16" spans="1:7">
      <c r="A16" s="3">
        <v>2002</v>
      </c>
      <c r="C16" s="38">
        <v>3</v>
      </c>
      <c r="D16" s="3" t="s">
        <v>726</v>
      </c>
      <c r="E16" s="4">
        <v>37438</v>
      </c>
      <c r="F16" s="4">
        <v>37529</v>
      </c>
      <c r="G16" s="4">
        <v>37544</v>
      </c>
    </row>
    <row r="17" spans="1:7">
      <c r="A17" s="3">
        <v>2002</v>
      </c>
      <c r="C17" s="38">
        <v>4</v>
      </c>
      <c r="D17" s="3" t="s">
        <v>733</v>
      </c>
      <c r="E17" s="4">
        <v>37530</v>
      </c>
      <c r="F17" s="4">
        <v>37621</v>
      </c>
      <c r="G17" s="4">
        <v>37652</v>
      </c>
    </row>
    <row r="18" spans="1:7">
      <c r="A18" s="3">
        <v>2003</v>
      </c>
      <c r="C18" s="38">
        <v>1</v>
      </c>
      <c r="D18" s="3" t="s">
        <v>724</v>
      </c>
      <c r="E18" s="4">
        <v>37622</v>
      </c>
      <c r="F18" s="4">
        <v>37711</v>
      </c>
      <c r="G18" s="4">
        <v>37726</v>
      </c>
    </row>
    <row r="19" spans="1:7">
      <c r="A19" s="3">
        <v>2003</v>
      </c>
      <c r="C19" s="38">
        <v>2</v>
      </c>
      <c r="D19" s="3" t="s">
        <v>725</v>
      </c>
      <c r="E19" s="4">
        <v>37712</v>
      </c>
      <c r="F19" s="4">
        <v>37802</v>
      </c>
      <c r="G19" s="4">
        <v>37817</v>
      </c>
    </row>
    <row r="20" spans="1:7">
      <c r="A20" s="3">
        <v>2003</v>
      </c>
      <c r="C20" s="38">
        <v>3</v>
      </c>
      <c r="D20" s="3" t="s">
        <v>726</v>
      </c>
      <c r="E20" s="4">
        <v>37803</v>
      </c>
      <c r="F20" s="4">
        <v>37894</v>
      </c>
      <c r="G20" s="4">
        <v>37909</v>
      </c>
    </row>
    <row r="21" spans="1:7">
      <c r="A21" s="3">
        <v>2003</v>
      </c>
      <c r="C21" s="38">
        <v>4</v>
      </c>
      <c r="D21" s="3" t="s">
        <v>733</v>
      </c>
      <c r="E21" s="4">
        <v>37895</v>
      </c>
      <c r="F21" s="4">
        <v>37986</v>
      </c>
      <c r="G21" s="4">
        <v>38017</v>
      </c>
    </row>
    <row r="22" spans="1:7">
      <c r="A22" s="3">
        <v>2004</v>
      </c>
      <c r="C22" s="38">
        <v>1</v>
      </c>
      <c r="D22" s="3" t="s">
        <v>724</v>
      </c>
      <c r="E22" s="4">
        <v>37987</v>
      </c>
      <c r="F22" s="4">
        <v>38077</v>
      </c>
      <c r="G22" s="4">
        <v>38092</v>
      </c>
    </row>
    <row r="23" spans="1:7">
      <c r="A23" s="3">
        <v>2004</v>
      </c>
      <c r="C23" s="38">
        <v>2</v>
      </c>
      <c r="D23" s="3" t="s">
        <v>725</v>
      </c>
      <c r="E23" s="4">
        <v>38078</v>
      </c>
      <c r="F23" s="4">
        <v>38168</v>
      </c>
      <c r="G23" s="4">
        <v>38183</v>
      </c>
    </row>
    <row r="24" spans="1:7">
      <c r="A24" s="3">
        <v>2004</v>
      </c>
      <c r="C24" s="38">
        <v>3</v>
      </c>
      <c r="D24" s="3" t="s">
        <v>726</v>
      </c>
      <c r="E24" s="4">
        <v>38169</v>
      </c>
      <c r="F24" s="4">
        <v>38260</v>
      </c>
      <c r="G24" s="4">
        <v>38275</v>
      </c>
    </row>
    <row r="25" spans="1:7">
      <c r="A25" s="3">
        <v>2004</v>
      </c>
      <c r="C25" s="38">
        <v>4</v>
      </c>
      <c r="D25" s="3" t="s">
        <v>733</v>
      </c>
      <c r="E25" s="4">
        <v>38261</v>
      </c>
      <c r="F25" s="4">
        <v>38352</v>
      </c>
      <c r="G25" s="4">
        <v>38383</v>
      </c>
    </row>
    <row r="26" spans="1:7">
      <c r="A26" s="3">
        <v>2005</v>
      </c>
      <c r="C26" s="38">
        <v>1</v>
      </c>
      <c r="D26" s="3" t="s">
        <v>724</v>
      </c>
      <c r="E26" s="4">
        <v>38353</v>
      </c>
      <c r="F26" s="4">
        <v>38442</v>
      </c>
      <c r="G26" s="4">
        <v>38457</v>
      </c>
    </row>
    <row r="27" spans="1:7">
      <c r="A27" s="3">
        <v>2005</v>
      </c>
      <c r="C27" s="38">
        <v>2</v>
      </c>
      <c r="D27" s="3" t="s">
        <v>725</v>
      </c>
      <c r="E27" s="4">
        <v>38443</v>
      </c>
      <c r="F27" s="4">
        <v>38533</v>
      </c>
      <c r="G27" s="4">
        <v>38548</v>
      </c>
    </row>
    <row r="28" spans="1:7">
      <c r="A28" s="3">
        <v>2005</v>
      </c>
      <c r="C28" s="38">
        <v>3</v>
      </c>
      <c r="D28" s="3" t="s">
        <v>726</v>
      </c>
      <c r="E28" s="4">
        <v>38534</v>
      </c>
      <c r="F28" s="4">
        <v>38625</v>
      </c>
      <c r="G28" s="4">
        <v>38640</v>
      </c>
    </row>
    <row r="29" spans="1:7">
      <c r="A29" s="3">
        <v>2005</v>
      </c>
      <c r="C29" s="38">
        <v>4</v>
      </c>
      <c r="D29" s="3" t="s">
        <v>733</v>
      </c>
      <c r="E29" s="4">
        <v>38626</v>
      </c>
      <c r="F29" s="4">
        <v>38717</v>
      </c>
      <c r="G29" s="4">
        <v>38748</v>
      </c>
    </row>
    <row r="30" spans="1:7">
      <c r="A30" s="3">
        <v>2006</v>
      </c>
      <c r="C30" s="38">
        <v>1</v>
      </c>
      <c r="D30" s="3" t="s">
        <v>724</v>
      </c>
      <c r="E30" s="4">
        <v>38718</v>
      </c>
      <c r="F30" s="4">
        <v>38807</v>
      </c>
      <c r="G30" s="4">
        <v>38822</v>
      </c>
    </row>
    <row r="31" spans="1:7">
      <c r="A31" s="3">
        <v>2006</v>
      </c>
      <c r="C31" s="38">
        <v>2</v>
      </c>
      <c r="D31" s="3" t="s">
        <v>725</v>
      </c>
      <c r="E31" s="4">
        <v>38808</v>
      </c>
      <c r="F31" s="4">
        <v>38898</v>
      </c>
      <c r="G31" s="4">
        <v>38913</v>
      </c>
    </row>
    <row r="32" spans="1:7">
      <c r="A32" s="3">
        <v>2006</v>
      </c>
      <c r="C32" s="38">
        <v>3</v>
      </c>
      <c r="D32" s="3" t="s">
        <v>726</v>
      </c>
      <c r="E32" s="4">
        <v>38899</v>
      </c>
      <c r="F32" s="4">
        <v>38990</v>
      </c>
      <c r="G32" s="4">
        <v>39005</v>
      </c>
    </row>
    <row r="33" spans="1:7">
      <c r="A33" s="3">
        <v>2006</v>
      </c>
      <c r="C33" s="38">
        <v>4</v>
      </c>
      <c r="D33" s="3" t="s">
        <v>733</v>
      </c>
      <c r="E33" s="4">
        <v>38991</v>
      </c>
      <c r="F33" s="4">
        <v>39082</v>
      </c>
      <c r="G33" s="4">
        <v>39113</v>
      </c>
    </row>
    <row r="34" spans="1:7">
      <c r="A34" s="3">
        <v>2007</v>
      </c>
      <c r="C34" s="38">
        <v>1</v>
      </c>
      <c r="D34" s="3" t="s">
        <v>724</v>
      </c>
      <c r="E34" s="4">
        <v>39083</v>
      </c>
      <c r="F34" s="4">
        <v>39172</v>
      </c>
      <c r="G34" s="4">
        <v>39187</v>
      </c>
    </row>
    <row r="35" spans="1:7">
      <c r="A35" s="3">
        <v>2007</v>
      </c>
      <c r="C35" s="38">
        <v>2</v>
      </c>
      <c r="D35" s="3" t="s">
        <v>725</v>
      </c>
      <c r="E35" s="4">
        <v>39173</v>
      </c>
      <c r="F35" s="4">
        <v>39263</v>
      </c>
      <c r="G35" s="4">
        <v>39278</v>
      </c>
    </row>
    <row r="36" spans="1:7">
      <c r="A36" s="3">
        <v>2007</v>
      </c>
      <c r="C36" s="38">
        <v>3</v>
      </c>
      <c r="D36" s="3" t="s">
        <v>726</v>
      </c>
      <c r="E36" s="4">
        <v>39264</v>
      </c>
      <c r="F36" s="4">
        <v>39355</v>
      </c>
      <c r="G36" s="4">
        <v>39370</v>
      </c>
    </row>
    <row r="37" spans="1:7">
      <c r="A37" s="3">
        <v>2007</v>
      </c>
      <c r="C37" s="38">
        <v>4</v>
      </c>
      <c r="D37" s="3" t="s">
        <v>733</v>
      </c>
      <c r="E37" s="4">
        <v>39356</v>
      </c>
      <c r="F37" s="4">
        <v>39447</v>
      </c>
      <c r="G37" s="4">
        <v>39478</v>
      </c>
    </row>
    <row r="38" spans="1:7">
      <c r="A38" s="3">
        <v>2008</v>
      </c>
      <c r="C38" s="38">
        <v>1</v>
      </c>
      <c r="D38" s="3" t="s">
        <v>724</v>
      </c>
      <c r="E38" s="4">
        <v>39448</v>
      </c>
      <c r="F38" s="4">
        <v>39538</v>
      </c>
      <c r="G38" s="4">
        <v>39553</v>
      </c>
    </row>
    <row r="39" spans="1:7">
      <c r="A39" s="3">
        <v>2008</v>
      </c>
      <c r="C39" s="38">
        <v>2</v>
      </c>
      <c r="D39" s="3" t="s">
        <v>725</v>
      </c>
      <c r="E39" s="4">
        <v>39539</v>
      </c>
      <c r="F39" s="4">
        <v>39629</v>
      </c>
      <c r="G39" s="4">
        <v>39644</v>
      </c>
    </row>
    <row r="40" spans="1:7">
      <c r="A40" s="3">
        <v>2008</v>
      </c>
      <c r="C40" s="38">
        <v>3</v>
      </c>
      <c r="D40" s="3" t="s">
        <v>726</v>
      </c>
      <c r="E40" s="4">
        <v>39630</v>
      </c>
      <c r="F40" s="4">
        <v>39721</v>
      </c>
      <c r="G40" s="4">
        <v>39736</v>
      </c>
    </row>
    <row r="41" spans="1:7">
      <c r="A41" s="3">
        <v>2008</v>
      </c>
      <c r="C41" s="38">
        <v>4</v>
      </c>
      <c r="D41" s="3" t="s">
        <v>733</v>
      </c>
      <c r="E41" s="4">
        <v>39722</v>
      </c>
      <c r="F41" s="4">
        <v>39813</v>
      </c>
      <c r="G41" s="4">
        <v>39844</v>
      </c>
    </row>
    <row r="42" spans="1:7">
      <c r="A42" s="3">
        <v>2009</v>
      </c>
      <c r="C42" s="38">
        <v>1</v>
      </c>
      <c r="D42" s="3" t="s">
        <v>724</v>
      </c>
      <c r="E42" s="4">
        <v>39814</v>
      </c>
      <c r="F42" s="4">
        <v>39903</v>
      </c>
      <c r="G42" s="4">
        <v>39918</v>
      </c>
    </row>
    <row r="43" spans="1:7">
      <c r="A43" s="3">
        <v>2009</v>
      </c>
      <c r="C43" s="38">
        <v>2</v>
      </c>
      <c r="D43" s="3" t="s">
        <v>725</v>
      </c>
      <c r="E43" s="4">
        <v>39904</v>
      </c>
      <c r="F43" s="4">
        <v>39994</v>
      </c>
      <c r="G43" s="4">
        <v>40009</v>
      </c>
    </row>
    <row r="44" spans="1:7">
      <c r="A44" s="3">
        <v>2009</v>
      </c>
      <c r="C44" s="38">
        <v>3</v>
      </c>
      <c r="D44" s="3" t="s">
        <v>726</v>
      </c>
      <c r="E44" s="4">
        <v>39995</v>
      </c>
      <c r="F44" s="4">
        <v>40086</v>
      </c>
      <c r="G44" s="4">
        <v>40101</v>
      </c>
    </row>
    <row r="45" spans="1:7">
      <c r="A45" s="3">
        <v>2009</v>
      </c>
      <c r="C45" s="38">
        <v>4</v>
      </c>
      <c r="D45" s="3" t="s">
        <v>733</v>
      </c>
      <c r="E45" s="4">
        <v>40087</v>
      </c>
      <c r="F45" s="4">
        <v>40178</v>
      </c>
      <c r="G45" s="4">
        <v>40209</v>
      </c>
    </row>
    <row r="46" spans="1:7">
      <c r="A46" s="3">
        <v>2010</v>
      </c>
      <c r="C46" s="38">
        <v>1</v>
      </c>
      <c r="D46" s="3" t="s">
        <v>724</v>
      </c>
      <c r="E46" s="4">
        <v>40179</v>
      </c>
      <c r="F46" s="4">
        <v>40268</v>
      </c>
      <c r="G46" s="4">
        <v>40283</v>
      </c>
    </row>
    <row r="47" spans="1:7">
      <c r="A47" s="3">
        <v>2010</v>
      </c>
      <c r="C47" s="38">
        <v>2</v>
      </c>
      <c r="D47" s="3" t="s">
        <v>725</v>
      </c>
      <c r="E47" s="4">
        <v>40269</v>
      </c>
      <c r="F47" s="4">
        <v>40359</v>
      </c>
      <c r="G47" s="4">
        <v>40374</v>
      </c>
    </row>
    <row r="48" spans="1:7">
      <c r="A48" s="3">
        <v>2010</v>
      </c>
      <c r="C48" s="38">
        <v>3</v>
      </c>
      <c r="D48" s="3" t="s">
        <v>726</v>
      </c>
      <c r="E48" s="4">
        <v>40360</v>
      </c>
      <c r="F48" s="4">
        <v>40451</v>
      </c>
      <c r="G48" s="4">
        <v>40466</v>
      </c>
    </row>
    <row r="49" spans="1:7">
      <c r="A49" s="3">
        <v>2010</v>
      </c>
      <c r="C49" s="38">
        <v>4</v>
      </c>
      <c r="D49" s="3" t="s">
        <v>733</v>
      </c>
      <c r="E49" s="4">
        <v>40452</v>
      </c>
      <c r="F49" s="4">
        <v>40543</v>
      </c>
      <c r="G49" s="4">
        <v>40574</v>
      </c>
    </row>
    <row r="50" spans="1:7">
      <c r="A50" s="3">
        <v>2011</v>
      </c>
      <c r="C50" s="38">
        <v>1</v>
      </c>
      <c r="D50" s="3" t="s">
        <v>724</v>
      </c>
      <c r="E50" s="4">
        <v>40544</v>
      </c>
      <c r="F50" s="4">
        <v>40633</v>
      </c>
      <c r="G50" s="4">
        <v>40648</v>
      </c>
    </row>
    <row r="51" spans="1:7">
      <c r="A51" s="3">
        <v>2011</v>
      </c>
      <c r="C51" s="38">
        <v>2</v>
      </c>
      <c r="D51" s="3" t="s">
        <v>725</v>
      </c>
      <c r="E51" s="4">
        <v>40634</v>
      </c>
      <c r="F51" s="4">
        <v>40724</v>
      </c>
      <c r="G51" s="4">
        <v>40739</v>
      </c>
    </row>
    <row r="52" spans="1:7">
      <c r="A52" s="3">
        <v>2011</v>
      </c>
      <c r="C52" s="38">
        <v>3</v>
      </c>
      <c r="D52" s="3" t="s">
        <v>726</v>
      </c>
      <c r="E52" s="4">
        <v>40725</v>
      </c>
      <c r="F52" s="4">
        <v>40816</v>
      </c>
      <c r="G52" s="4">
        <v>40831</v>
      </c>
    </row>
    <row r="53" spans="1:7">
      <c r="A53" s="3">
        <v>2011</v>
      </c>
      <c r="C53" s="38">
        <v>4</v>
      </c>
      <c r="D53" s="3" t="s">
        <v>733</v>
      </c>
      <c r="E53" s="4">
        <v>40817</v>
      </c>
      <c r="F53" s="4">
        <v>40908</v>
      </c>
      <c r="G53" s="4">
        <v>40939</v>
      </c>
    </row>
    <row r="54" spans="1:7">
      <c r="A54" s="3">
        <v>2012</v>
      </c>
      <c r="C54" s="38">
        <v>1</v>
      </c>
      <c r="D54" s="3" t="s">
        <v>724</v>
      </c>
      <c r="E54" s="4">
        <v>40909</v>
      </c>
      <c r="F54" s="4">
        <v>40999</v>
      </c>
      <c r="G54" s="4">
        <v>41014</v>
      </c>
    </row>
    <row r="55" spans="1:7">
      <c r="A55" s="3">
        <v>2012</v>
      </c>
      <c r="C55" s="38">
        <v>2</v>
      </c>
      <c r="D55" s="3" t="s">
        <v>725</v>
      </c>
      <c r="E55" s="4">
        <v>41000</v>
      </c>
      <c r="F55" s="4">
        <v>41090</v>
      </c>
      <c r="G55" s="4">
        <v>41105</v>
      </c>
    </row>
    <row r="56" spans="1:7">
      <c r="A56" s="3">
        <v>2012</v>
      </c>
      <c r="C56" s="38">
        <v>3</v>
      </c>
      <c r="D56" s="3" t="s">
        <v>726</v>
      </c>
      <c r="E56" s="4">
        <v>41091</v>
      </c>
      <c r="F56" s="4">
        <v>41182</v>
      </c>
      <c r="G56" s="4">
        <v>41197</v>
      </c>
    </row>
    <row r="57" spans="1:7">
      <c r="A57" s="3">
        <v>2012</v>
      </c>
      <c r="C57" s="38">
        <v>4</v>
      </c>
      <c r="D57" s="3" t="s">
        <v>733</v>
      </c>
      <c r="E57" s="4">
        <v>41183</v>
      </c>
      <c r="F57" s="4">
        <v>41274</v>
      </c>
      <c r="G57" s="4">
        <v>41305</v>
      </c>
    </row>
    <row r="58" spans="1:7">
      <c r="A58" s="3">
        <v>2013</v>
      </c>
      <c r="B58" s="17" t="s">
        <v>723</v>
      </c>
      <c r="C58" s="38">
        <v>1</v>
      </c>
      <c r="D58" s="3" t="s">
        <v>724</v>
      </c>
      <c r="E58" s="4">
        <v>41275</v>
      </c>
      <c r="F58" s="4">
        <v>41364</v>
      </c>
      <c r="G58" s="4">
        <v>41379</v>
      </c>
    </row>
    <row r="59" spans="1:7">
      <c r="A59" s="3">
        <v>2013</v>
      </c>
      <c r="B59" s="17" t="s">
        <v>723</v>
      </c>
      <c r="C59" s="38">
        <v>2</v>
      </c>
      <c r="D59" s="3" t="s">
        <v>725</v>
      </c>
      <c r="E59" s="4">
        <v>41365</v>
      </c>
      <c r="F59" s="4">
        <v>41455</v>
      </c>
      <c r="G59" s="4">
        <v>41470</v>
      </c>
    </row>
    <row r="60" spans="1:7">
      <c r="A60" s="3">
        <v>2013</v>
      </c>
      <c r="B60" s="17" t="s">
        <v>723</v>
      </c>
      <c r="C60" s="38">
        <v>3</v>
      </c>
      <c r="D60" s="3" t="s">
        <v>726</v>
      </c>
      <c r="E60" s="4">
        <v>41456</v>
      </c>
      <c r="F60" s="4">
        <v>41547</v>
      </c>
      <c r="G60" s="4">
        <v>41562</v>
      </c>
    </row>
    <row r="61" spans="1:7">
      <c r="A61" s="3">
        <v>2013</v>
      </c>
      <c r="B61" s="17" t="s">
        <v>723</v>
      </c>
      <c r="C61" s="38">
        <v>4</v>
      </c>
      <c r="D61" s="3" t="s">
        <v>733</v>
      </c>
      <c r="E61" s="4">
        <v>41548</v>
      </c>
      <c r="F61" s="4">
        <v>41639</v>
      </c>
      <c r="G61" s="4">
        <v>41670</v>
      </c>
    </row>
    <row r="62" spans="1:7">
      <c r="A62" s="3">
        <v>2014</v>
      </c>
      <c r="B62" s="17" t="s">
        <v>723</v>
      </c>
      <c r="C62" s="38">
        <v>1</v>
      </c>
      <c r="D62" s="3" t="s">
        <v>724</v>
      </c>
      <c r="E62" s="4">
        <v>41640</v>
      </c>
      <c r="F62" s="4">
        <v>41729</v>
      </c>
      <c r="G62" s="4">
        <v>41744</v>
      </c>
    </row>
    <row r="63" spans="1:7">
      <c r="A63" s="3">
        <v>2014</v>
      </c>
      <c r="B63" s="17" t="s">
        <v>723</v>
      </c>
      <c r="C63" s="38">
        <v>2</v>
      </c>
      <c r="D63" s="3" t="s">
        <v>725</v>
      </c>
      <c r="E63" s="4">
        <v>41730</v>
      </c>
      <c r="F63" s="4">
        <v>41820</v>
      </c>
      <c r="G63" s="4">
        <v>41835</v>
      </c>
    </row>
    <row r="64" spans="1:7">
      <c r="A64" s="3">
        <v>2014</v>
      </c>
      <c r="B64" s="17" t="s">
        <v>723</v>
      </c>
      <c r="C64" s="38">
        <v>3</v>
      </c>
      <c r="D64" s="3" t="s">
        <v>726</v>
      </c>
      <c r="E64" s="4">
        <v>41821</v>
      </c>
      <c r="F64" s="4">
        <v>41912</v>
      </c>
      <c r="G64" s="4">
        <v>41927</v>
      </c>
    </row>
    <row r="65" spans="1:7">
      <c r="A65" s="3">
        <v>2014</v>
      </c>
      <c r="B65" s="17" t="s">
        <v>723</v>
      </c>
      <c r="C65" s="38">
        <v>4</v>
      </c>
      <c r="D65" s="3" t="s">
        <v>733</v>
      </c>
      <c r="E65" s="4">
        <v>41913</v>
      </c>
      <c r="F65" s="4">
        <v>42004</v>
      </c>
      <c r="G65" s="4">
        <v>42035</v>
      </c>
    </row>
    <row r="66" spans="1:7">
      <c r="A66" s="3">
        <v>2015</v>
      </c>
      <c r="B66" s="17" t="s">
        <v>727</v>
      </c>
      <c r="C66" s="38">
        <v>1</v>
      </c>
      <c r="D66" s="3" t="s">
        <v>724</v>
      </c>
      <c r="E66" s="4">
        <v>42005</v>
      </c>
      <c r="F66" s="4">
        <v>42094</v>
      </c>
      <c r="G66" s="4">
        <v>42109</v>
      </c>
    </row>
    <row r="67" spans="1:7">
      <c r="A67" s="3">
        <v>2015</v>
      </c>
      <c r="B67" s="17" t="s">
        <v>727</v>
      </c>
      <c r="C67" s="38">
        <v>2</v>
      </c>
      <c r="D67" s="3" t="s">
        <v>725</v>
      </c>
      <c r="E67" s="4">
        <v>42095</v>
      </c>
      <c r="F67" s="4">
        <v>42185</v>
      </c>
      <c r="G67" s="4">
        <v>42200</v>
      </c>
    </row>
    <row r="68" spans="1:7">
      <c r="A68" s="3">
        <v>2015</v>
      </c>
      <c r="B68" s="17" t="s">
        <v>727</v>
      </c>
      <c r="C68" s="38">
        <v>3</v>
      </c>
      <c r="D68" s="3" t="s">
        <v>726</v>
      </c>
      <c r="E68" s="4">
        <v>42186</v>
      </c>
      <c r="F68" s="4">
        <v>42277</v>
      </c>
      <c r="G68" s="4">
        <v>42292</v>
      </c>
    </row>
    <row r="69" spans="1:7">
      <c r="A69" s="3">
        <v>2015</v>
      </c>
      <c r="B69" s="17" t="s">
        <v>727</v>
      </c>
      <c r="C69" s="38">
        <v>4</v>
      </c>
      <c r="D69" s="3" t="s">
        <v>733</v>
      </c>
      <c r="E69" s="4">
        <v>42278</v>
      </c>
      <c r="F69" s="4">
        <v>42369</v>
      </c>
      <c r="G69" s="4">
        <v>42400</v>
      </c>
    </row>
    <row r="70" spans="1:7">
      <c r="A70" s="3">
        <v>2016</v>
      </c>
      <c r="B70" s="17" t="s">
        <v>728</v>
      </c>
      <c r="C70" s="38">
        <v>1</v>
      </c>
      <c r="D70" s="3" t="s">
        <v>724</v>
      </c>
      <c r="E70" s="4">
        <v>42370</v>
      </c>
      <c r="F70" s="4">
        <v>42460</v>
      </c>
      <c r="G70" s="4">
        <v>42475</v>
      </c>
    </row>
    <row r="71" spans="1:7">
      <c r="A71" s="3">
        <v>2016</v>
      </c>
      <c r="B71" s="17" t="s">
        <v>728</v>
      </c>
      <c r="C71" s="38">
        <v>2</v>
      </c>
      <c r="D71" s="3" t="s">
        <v>725</v>
      </c>
      <c r="E71" s="4">
        <v>42461</v>
      </c>
      <c r="F71" s="4">
        <v>42551</v>
      </c>
      <c r="G71" s="4">
        <v>42566</v>
      </c>
    </row>
    <row r="72" spans="1:7">
      <c r="A72" s="3">
        <v>2016</v>
      </c>
      <c r="B72" s="17" t="s">
        <v>728</v>
      </c>
      <c r="C72" s="38">
        <v>3</v>
      </c>
      <c r="D72" s="3" t="s">
        <v>726</v>
      </c>
      <c r="E72" s="4">
        <v>42552</v>
      </c>
      <c r="F72" s="4">
        <v>42643</v>
      </c>
      <c r="G72" s="4">
        <v>42658</v>
      </c>
    </row>
    <row r="73" spans="1:7">
      <c r="A73" s="3">
        <v>2016</v>
      </c>
      <c r="B73" s="17" t="s">
        <v>728</v>
      </c>
      <c r="C73" s="38">
        <v>4</v>
      </c>
      <c r="D73" s="3" t="s">
        <v>733</v>
      </c>
      <c r="E73" s="4">
        <v>42644</v>
      </c>
      <c r="F73" s="4">
        <v>42735</v>
      </c>
      <c r="G73" s="4">
        <v>42766</v>
      </c>
    </row>
    <row r="74" spans="1:7">
      <c r="A74" s="3">
        <v>2017</v>
      </c>
      <c r="B74" s="17" t="s">
        <v>729</v>
      </c>
      <c r="C74" s="38">
        <v>1</v>
      </c>
      <c r="D74" s="3" t="s">
        <v>724</v>
      </c>
      <c r="E74" s="4">
        <v>42736</v>
      </c>
      <c r="F74" s="4">
        <v>42825</v>
      </c>
      <c r="G74" s="4">
        <v>42840</v>
      </c>
    </row>
    <row r="75" spans="1:7">
      <c r="A75" s="3">
        <v>2017</v>
      </c>
      <c r="B75" s="17" t="s">
        <v>729</v>
      </c>
      <c r="C75" s="38">
        <v>2</v>
      </c>
      <c r="D75" s="3" t="s">
        <v>725</v>
      </c>
      <c r="E75" s="4">
        <v>42826</v>
      </c>
      <c r="F75" s="4">
        <v>42916</v>
      </c>
      <c r="G75" s="4">
        <v>42931</v>
      </c>
    </row>
    <row r="76" spans="1:7">
      <c r="A76" s="3">
        <v>2017</v>
      </c>
      <c r="B76" s="17" t="s">
        <v>729</v>
      </c>
      <c r="C76" s="38">
        <v>3</v>
      </c>
      <c r="D76" s="3" t="s">
        <v>726</v>
      </c>
      <c r="E76" s="4">
        <v>42917</v>
      </c>
      <c r="F76" s="4">
        <v>43008</v>
      </c>
      <c r="G76" s="4">
        <v>43023</v>
      </c>
    </row>
    <row r="77" spans="1:7">
      <c r="A77" s="3">
        <v>2017</v>
      </c>
      <c r="B77" s="17" t="s">
        <v>729</v>
      </c>
      <c r="C77" s="38">
        <v>4</v>
      </c>
      <c r="D77" s="3" t="s">
        <v>733</v>
      </c>
      <c r="E77" s="4">
        <v>43009</v>
      </c>
      <c r="F77" s="4">
        <v>43100</v>
      </c>
      <c r="G77" s="4">
        <v>43131</v>
      </c>
    </row>
    <row r="78" spans="1:7">
      <c r="A78" s="3">
        <v>2018</v>
      </c>
      <c r="B78" s="17" t="s">
        <v>729</v>
      </c>
      <c r="C78" s="38">
        <v>1</v>
      </c>
      <c r="D78" s="3" t="s">
        <v>724</v>
      </c>
      <c r="E78" s="4">
        <v>43101</v>
      </c>
      <c r="F78" s="4">
        <v>43190</v>
      </c>
      <c r="G78" s="4">
        <v>43205</v>
      </c>
    </row>
    <row r="79" spans="1:7">
      <c r="A79" s="3">
        <v>2018</v>
      </c>
      <c r="B79" s="17" t="s">
        <v>729</v>
      </c>
      <c r="C79" s="38">
        <v>2</v>
      </c>
      <c r="D79" s="3" t="s">
        <v>725</v>
      </c>
      <c r="E79" s="4">
        <v>43191</v>
      </c>
      <c r="F79" s="4">
        <v>43281</v>
      </c>
      <c r="G79" s="4">
        <v>43296</v>
      </c>
    </row>
    <row r="80" spans="1:7">
      <c r="A80" s="3">
        <v>2018</v>
      </c>
      <c r="B80" s="17" t="s">
        <v>729</v>
      </c>
      <c r="C80" s="38">
        <v>3</v>
      </c>
      <c r="D80" s="3" t="s">
        <v>726</v>
      </c>
      <c r="E80" s="4">
        <v>43282</v>
      </c>
      <c r="F80" s="4">
        <v>43373</v>
      </c>
      <c r="G80" s="4">
        <v>43388</v>
      </c>
    </row>
    <row r="81" spans="1:7">
      <c r="A81" s="3">
        <v>2018</v>
      </c>
      <c r="B81" s="17" t="s">
        <v>729</v>
      </c>
      <c r="C81" s="38">
        <v>4</v>
      </c>
      <c r="D81" s="3" t="s">
        <v>733</v>
      </c>
      <c r="E81" s="4">
        <v>43374</v>
      </c>
      <c r="F81" s="4">
        <v>43465</v>
      </c>
      <c r="G81" s="4">
        <v>43496</v>
      </c>
    </row>
    <row r="82" spans="1:7">
      <c r="A82" s="3">
        <v>2019</v>
      </c>
      <c r="B82" s="17" t="s">
        <v>730</v>
      </c>
      <c r="C82" s="38">
        <v>1</v>
      </c>
      <c r="D82" s="3" t="s">
        <v>724</v>
      </c>
      <c r="E82" s="4">
        <v>43466</v>
      </c>
      <c r="F82" s="4">
        <v>43555</v>
      </c>
      <c r="G82" s="4">
        <v>43570</v>
      </c>
    </row>
    <row r="83" spans="1:7">
      <c r="A83" s="3">
        <v>2019</v>
      </c>
      <c r="B83" s="17" t="s">
        <v>730</v>
      </c>
      <c r="C83" s="38">
        <v>2</v>
      </c>
      <c r="D83" s="3" t="s">
        <v>725</v>
      </c>
      <c r="E83" s="4">
        <v>43556</v>
      </c>
      <c r="F83" s="4">
        <v>43646</v>
      </c>
      <c r="G83" s="4">
        <v>43661</v>
      </c>
    </row>
    <row r="84" spans="1:7">
      <c r="A84" s="3">
        <v>2019</v>
      </c>
      <c r="B84" s="17" t="s">
        <v>730</v>
      </c>
      <c r="C84" s="38">
        <v>3</v>
      </c>
      <c r="D84" s="3" t="s">
        <v>726</v>
      </c>
      <c r="E84" s="4">
        <v>43647</v>
      </c>
      <c r="F84" s="4">
        <v>43738</v>
      </c>
      <c r="G84" s="4">
        <v>43753</v>
      </c>
    </row>
    <row r="85" spans="1:7">
      <c r="A85" s="3">
        <v>2019</v>
      </c>
      <c r="B85" s="17" t="s">
        <v>730</v>
      </c>
      <c r="C85" s="38">
        <v>4</v>
      </c>
      <c r="D85" s="3" t="s">
        <v>733</v>
      </c>
      <c r="E85" s="4">
        <v>43739</v>
      </c>
      <c r="F85" s="4">
        <v>43830</v>
      </c>
      <c r="G85" s="4">
        <v>43861</v>
      </c>
    </row>
    <row r="86" spans="1:7">
      <c r="A86" s="3">
        <v>2020</v>
      </c>
      <c r="B86" s="17"/>
      <c r="C86" s="38">
        <v>1</v>
      </c>
      <c r="D86" s="3" t="s">
        <v>724</v>
      </c>
      <c r="E86" s="4">
        <v>43831</v>
      </c>
      <c r="F86" s="4">
        <v>43921</v>
      </c>
      <c r="G86" s="4">
        <v>43936</v>
      </c>
    </row>
    <row r="87" spans="1:7">
      <c r="A87" s="3">
        <v>2020</v>
      </c>
      <c r="B87" s="17"/>
      <c r="C87" s="38">
        <v>2</v>
      </c>
      <c r="D87" s="3" t="s">
        <v>725</v>
      </c>
      <c r="E87" s="4">
        <v>43922</v>
      </c>
      <c r="F87" s="4">
        <v>44012</v>
      </c>
      <c r="G87" s="4">
        <v>44027</v>
      </c>
    </row>
    <row r="88" spans="1:7">
      <c r="A88" s="3">
        <v>2020</v>
      </c>
      <c r="B88" s="17"/>
      <c r="C88" s="38">
        <v>3</v>
      </c>
      <c r="D88" s="3" t="s">
        <v>726</v>
      </c>
      <c r="E88" s="4">
        <v>44013</v>
      </c>
      <c r="F88" s="4">
        <v>44104</v>
      </c>
      <c r="G88" s="4">
        <v>44119</v>
      </c>
    </row>
    <row r="89" spans="1:7">
      <c r="A89" s="3">
        <v>2020</v>
      </c>
      <c r="B89" s="17"/>
      <c r="C89" s="38">
        <v>4</v>
      </c>
      <c r="D89" s="3" t="s">
        <v>733</v>
      </c>
      <c r="E89" s="4">
        <v>44105</v>
      </c>
      <c r="F89" s="4">
        <v>44196</v>
      </c>
      <c r="G89" s="4">
        <v>44227</v>
      </c>
    </row>
  </sheetData>
  <autoFilter ref="A1:G1" xr:uid="{8E48F95C-ECE3-3F45-A457-ED99115FB583}"/>
  <hyperlinks>
    <hyperlink ref="B58" r:id="rId1" display="https://www.fec.gov/help-candidates-and-committees/dates-and-deadlines/2019-reporting-dates/2019-quarterly-filers/" xr:uid="{F54C1619-86AE-8749-BE58-14A269A69794}"/>
    <hyperlink ref="B59" r:id="rId2" display="https://www.fec.gov/help-candidates-and-committees/dates-and-deadlines/2019-reporting-dates/2019-quarterly-filers/" xr:uid="{DB0B446A-16D3-2D48-8A3A-CBEF03683908}"/>
    <hyperlink ref="B60" r:id="rId3" display="https://www.fec.gov/help-candidates-and-committees/dates-and-deadlines/2019-reporting-dates/2019-quarterly-filers/" xr:uid="{E77D9795-9118-4E4A-BCE3-3A12F8829F27}"/>
    <hyperlink ref="B61" r:id="rId4" display="https://www.fec.gov/help-candidates-and-committees/dates-and-deadlines/2019-reporting-dates/2019-quarterly-filers/" xr:uid="{D33A6510-0F33-DD41-AF38-E39D5542A2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Scandals</vt:lpstr>
      <vt:lpstr>Scandal references</vt:lpstr>
      <vt:lpstr>Deaths</vt:lpstr>
      <vt:lpstr>Politician details</vt:lpstr>
      <vt:lpstr>House cycles</vt:lpstr>
      <vt:lpstr>Senate cycles</vt:lpstr>
      <vt:lpstr>PAC reporting 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Susanne Preuss</cp:lastModifiedBy>
  <cp:lastPrinted>2019-10-28T10:30:11Z</cp:lastPrinted>
  <dcterms:created xsi:type="dcterms:W3CDTF">2019-10-18T10:05:23Z</dcterms:created>
  <dcterms:modified xsi:type="dcterms:W3CDTF">2024-01-17T15:44:59Z</dcterms:modified>
</cp:coreProperties>
</file>